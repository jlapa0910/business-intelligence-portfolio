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drawings/drawing3.xml" ContentType="application/vnd.openxmlformats-officedocument.drawing+xml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ck Lapa\OneDrive - Universidad San Ignacio de Loyola\CLIENTES EXCEL\SARAI EXCEL\"/>
    </mc:Choice>
  </mc:AlternateContent>
  <xr:revisionPtr revIDLastSave="0" documentId="13_ncr:1_{ED58F807-CEAE-4C9E-A625-EAD470968021}" xr6:coauthVersionLast="47" xr6:coauthVersionMax="47" xr10:uidLastSave="{00000000-0000-0000-0000-000000000000}"/>
  <bookViews>
    <workbookView xWindow="-108" yWindow="-108" windowWidth="23256" windowHeight="12576" activeTab="2" xr2:uid="{B9391C79-AA54-F548-9101-ED4BFFF413F4}"/>
  </bookViews>
  <sheets>
    <sheet name="DATA" sheetId="1" r:id="rId1"/>
    <sheet name="TABLAS DINAMICAS" sheetId="2" state="hidden" r:id="rId2"/>
    <sheet name="DASHBOARD" sheetId="3" r:id="rId3"/>
    <sheet name="Hoja1" sheetId="4" state="hidden" r:id="rId4"/>
  </sheets>
  <definedNames>
    <definedName name="SegmentaciónDeDatos_FECHA_VENCIMIENTO">#N/A</definedName>
    <definedName name="SegmentaciónDeDatos_ZONA_CLIENTE">#N/A</definedName>
  </definedNames>
  <calcPr calcId="191029" concurrentCalc="0"/>
  <pivotCaches>
    <pivotCache cacheId="92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852" i="1" l="1"/>
  <c r="L853" i="1"/>
  <c r="L849" i="1"/>
  <c r="L782" i="1"/>
  <c r="L518" i="1"/>
  <c r="L519" i="1"/>
  <c r="L783" i="1"/>
  <c r="L504" i="1"/>
  <c r="L784" i="1"/>
  <c r="L133" i="1"/>
  <c r="L102" i="1"/>
  <c r="L134" i="1"/>
  <c r="L123" i="1"/>
  <c r="L103" i="1"/>
  <c r="L104" i="1"/>
  <c r="L19" i="1"/>
  <c r="L135" i="1"/>
  <c r="L105" i="1"/>
  <c r="L82" i="1"/>
  <c r="L106" i="1"/>
  <c r="L136" i="1"/>
  <c r="L107" i="1"/>
  <c r="L137" i="1"/>
  <c r="L83" i="1"/>
  <c r="L138" i="1"/>
  <c r="L139" i="1"/>
  <c r="L140" i="1"/>
  <c r="L141" i="1"/>
  <c r="L84" i="1"/>
  <c r="L747" i="1"/>
  <c r="L897" i="1"/>
  <c r="L880" i="1"/>
  <c r="L419" i="1"/>
  <c r="L718" i="1"/>
  <c r="L834" i="1"/>
  <c r="L689" i="1"/>
  <c r="L719" i="1"/>
  <c r="L881" i="1"/>
  <c r="L773" i="1"/>
  <c r="L774" i="1"/>
  <c r="L704" i="1"/>
  <c r="L238" i="1"/>
  <c r="L198" i="1"/>
  <c r="L239" i="1"/>
  <c r="L232" i="1"/>
  <c r="L499" i="1"/>
  <c r="L429" i="1"/>
  <c r="L924" i="1"/>
  <c r="L925" i="1"/>
  <c r="L775" i="1"/>
  <c r="L882" i="1"/>
  <c r="L583" i="1"/>
  <c r="L835" i="1"/>
  <c r="L854" i="1"/>
  <c r="L467" i="1"/>
  <c r="L492" i="1"/>
  <c r="L468" i="1"/>
  <c r="L679" i="1"/>
  <c r="L595" i="1"/>
  <c r="L705" i="1"/>
  <c r="L706" i="1"/>
  <c r="L208" i="1"/>
  <c r="L205" i="1"/>
  <c r="L230" i="1"/>
  <c r="L197" i="1"/>
  <c r="L203" i="1"/>
  <c r="L249" i="1"/>
  <c r="L273" i="1"/>
  <c r="L260" i="1"/>
  <c r="L274" i="1"/>
  <c r="L275" i="1"/>
  <c r="L253" i="1"/>
  <c r="L455" i="1"/>
  <c r="L456" i="1"/>
  <c r="L457" i="1"/>
  <c r="L458" i="1"/>
  <c r="L670" i="1"/>
  <c r="L671" i="1"/>
  <c r="L690" i="1"/>
  <c r="L738" i="1"/>
  <c r="L836" i="1"/>
  <c r="L739" i="1"/>
  <c r="L520" i="1"/>
  <c r="L521" i="1"/>
  <c r="L324" i="1"/>
  <c r="L584" i="1"/>
  <c r="L656" i="1"/>
  <c r="L373" i="1"/>
  <c r="L342" i="1"/>
  <c r="L898" i="1"/>
  <c r="L335" i="1"/>
  <c r="L446" i="1"/>
  <c r="L448" i="1"/>
  <c r="L460" i="1"/>
  <c r="L330" i="1"/>
  <c r="L349" i="1"/>
  <c r="L474" i="1"/>
  <c r="L365" i="1"/>
  <c r="L352" i="1"/>
  <c r="L500" i="1"/>
  <c r="L321" i="1"/>
  <c r="L359" i="1"/>
  <c r="L327" i="1"/>
  <c r="L625" i="1"/>
  <c r="L573" i="1"/>
  <c r="L413" i="1"/>
  <c r="L401" i="1"/>
  <c r="L383" i="1"/>
  <c r="L367" i="1"/>
  <c r="L380" i="1"/>
  <c r="L366" i="1"/>
  <c r="L509" i="1"/>
  <c r="L377" i="1"/>
  <c r="L501" i="1"/>
  <c r="L657" i="1"/>
  <c r="L200" i="1"/>
  <c r="L636" i="1"/>
  <c r="L118" i="1"/>
  <c r="L149" i="1"/>
  <c r="L153" i="1"/>
  <c r="L173" i="1"/>
  <c r="L170" i="1"/>
  <c r="L672" i="1"/>
  <c r="L49" i="1"/>
  <c r="L378" i="1"/>
  <c r="L599" i="1"/>
  <c r="L600" i="1"/>
  <c r="L740" i="1"/>
  <c r="L748" i="1"/>
  <c r="L749" i="1"/>
  <c r="L760" i="1"/>
  <c r="L761" i="1"/>
  <c r="L837" i="1"/>
  <c r="L838" i="1"/>
  <c r="L839" i="1"/>
  <c r="L907" i="1"/>
  <c r="L908" i="1"/>
  <c r="L909" i="1"/>
  <c r="L855" i="1"/>
  <c r="L161" i="1"/>
  <c r="L878" i="1"/>
  <c r="L574" i="1"/>
  <c r="L601" i="1"/>
  <c r="L641" i="1"/>
  <c r="L142" i="1"/>
  <c r="L642" i="1"/>
  <c r="L762" i="1"/>
  <c r="L502" i="1"/>
  <c r="L741" i="1"/>
  <c r="L71" i="1"/>
  <c r="L72" i="1"/>
  <c r="L75" i="1"/>
  <c r="L720" i="1"/>
  <c r="L234" i="1"/>
  <c r="L235" i="1"/>
  <c r="L236" i="1"/>
  <c r="L280" i="1"/>
  <c r="L250" i="1"/>
  <c r="L251" i="1"/>
  <c r="L252" i="1"/>
  <c r="L426" i="1"/>
  <c r="L785" i="1"/>
  <c r="L469" i="1"/>
  <c r="L596" i="1"/>
  <c r="L493" i="1"/>
  <c r="L227" i="1"/>
  <c r="L487" i="1"/>
  <c r="L658" i="1"/>
  <c r="L659" i="1"/>
  <c r="L763" i="1"/>
  <c r="L883" i="1"/>
  <c r="L884" i="1"/>
  <c r="L575" i="1"/>
  <c r="L356" i="1"/>
  <c r="L35" i="1"/>
  <c r="L33" i="1"/>
  <c r="L30" i="1"/>
  <c r="L29" i="1"/>
  <c r="L25" i="1"/>
  <c r="L36" i="1"/>
  <c r="L26" i="1"/>
  <c r="L31" i="1"/>
  <c r="L17" i="1"/>
  <c r="L20" i="1"/>
  <c r="L28" i="1"/>
  <c r="L44" i="1"/>
  <c r="L39" i="1"/>
  <c r="L45" i="1"/>
  <c r="L46" i="1"/>
  <c r="L40" i="1"/>
  <c r="L41" i="1"/>
  <c r="L34" i="1"/>
  <c r="L37" i="1"/>
  <c r="L24" i="1"/>
  <c r="L42" i="1"/>
  <c r="L43" i="1"/>
  <c r="L23" i="1"/>
  <c r="L776" i="1"/>
  <c r="L116" i="1"/>
  <c r="L100" i="1"/>
  <c r="L110" i="1"/>
  <c r="L85" i="1"/>
  <c r="L362" i="1"/>
  <c r="L332" i="1"/>
  <c r="L494" i="1"/>
  <c r="L885" i="1"/>
  <c r="L558" i="1"/>
  <c r="L387" i="1"/>
  <c r="L856" i="1"/>
  <c r="L637" i="1"/>
  <c r="L164" i="1"/>
  <c r="L160" i="1"/>
  <c r="L162" i="1"/>
  <c r="L171" i="1"/>
  <c r="L144" i="1"/>
  <c r="L175" i="1"/>
  <c r="L201" i="1"/>
  <c r="L199" i="1"/>
  <c r="L165" i="1"/>
  <c r="L169" i="1"/>
  <c r="L167" i="1"/>
  <c r="L166" i="1"/>
  <c r="L886" i="1"/>
  <c r="L887" i="1"/>
  <c r="L888" i="1"/>
  <c r="L176" i="1"/>
  <c r="L181" i="1"/>
  <c r="L196" i="1"/>
  <c r="L177" i="1"/>
  <c r="L180" i="1"/>
  <c r="L178" i="1"/>
  <c r="L937" i="1"/>
  <c r="L938" i="1"/>
  <c r="L505" i="1"/>
  <c r="L680" i="1"/>
  <c r="L750" i="1"/>
  <c r="L339" i="1"/>
  <c r="L286" i="1"/>
  <c r="L340" i="1"/>
  <c r="L673" i="1"/>
  <c r="L786" i="1"/>
  <c r="L910" i="1"/>
  <c r="L978" i="1"/>
  <c r="L751" i="1"/>
  <c r="L840" i="1"/>
  <c r="L889" i="1"/>
  <c r="L681" i="1"/>
  <c r="L787" i="1"/>
  <c r="L723" i="1"/>
  <c r="L643" i="1"/>
  <c r="L682" i="1"/>
  <c r="L890" i="1"/>
  <c r="L510" i="1"/>
  <c r="L626" i="1"/>
  <c r="L627" i="1"/>
  <c r="L579" i="1"/>
  <c r="L210" i="1"/>
  <c r="L707" i="1"/>
  <c r="L439" i="1"/>
  <c r="L475" i="1"/>
  <c r="L261" i="1"/>
  <c r="L548" i="1"/>
  <c r="L628" i="1"/>
  <c r="L724" i="1"/>
  <c r="L708" i="1"/>
  <c r="L752" i="1"/>
  <c r="L764" i="1"/>
  <c r="L683" i="1"/>
  <c r="L644" i="1"/>
  <c r="L709" i="1"/>
  <c r="L710" i="1"/>
  <c r="L711" i="1"/>
  <c r="L788" i="1"/>
  <c r="L549" i="1"/>
  <c r="L585" i="1"/>
  <c r="L684" i="1"/>
  <c r="L586" i="1"/>
  <c r="L816" i="1"/>
  <c r="L424" i="1"/>
  <c r="L506" i="1"/>
  <c r="L660" i="1"/>
  <c r="L661" i="1"/>
  <c r="L360" i="1"/>
  <c r="L507" i="1"/>
  <c r="L824" i="1"/>
  <c r="L817" i="1"/>
  <c r="L841" i="1"/>
  <c r="L363" i="1"/>
  <c r="L376" i="1"/>
  <c r="L488" i="1"/>
  <c r="L157" i="1"/>
  <c r="L163" i="1"/>
  <c r="L155" i="1"/>
  <c r="L522" i="1"/>
  <c r="L476" i="1"/>
  <c r="L662" i="1"/>
  <c r="L825" i="1"/>
  <c r="L712" i="1"/>
  <c r="L206" i="1"/>
  <c r="L602" i="1"/>
  <c r="L559" i="1"/>
  <c r="L789" i="1"/>
  <c r="L403" i="1"/>
  <c r="L404" i="1"/>
  <c r="L944" i="1"/>
  <c r="L414" i="1"/>
  <c r="L954" i="1"/>
  <c r="L955" i="1"/>
  <c r="L511" i="1"/>
  <c r="L449" i="1"/>
  <c r="L495" i="1"/>
  <c r="L857" i="1"/>
  <c r="L450" i="1"/>
  <c r="L619" i="1"/>
  <c r="L389" i="1"/>
  <c r="L696" i="1"/>
  <c r="L663" i="1"/>
  <c r="L765" i="1"/>
  <c r="L842" i="1"/>
  <c r="L725" i="1"/>
  <c r="L612" i="1"/>
  <c r="L27" i="1"/>
  <c r="L700" i="1"/>
  <c r="L292" i="1"/>
  <c r="L77" i="1"/>
  <c r="L130" i="1"/>
  <c r="L129" i="1"/>
  <c r="L63" i="1"/>
  <c r="L78" i="1"/>
  <c r="L127" i="1"/>
  <c r="L145" i="1"/>
  <c r="L124" i="1"/>
  <c r="L59" i="1"/>
  <c r="L70" i="1"/>
  <c r="L128" i="1"/>
  <c r="L122" i="1"/>
  <c r="L119" i="1"/>
  <c r="L148" i="1"/>
  <c r="L111" i="1"/>
  <c r="L131" i="1"/>
  <c r="L108" i="1"/>
  <c r="L109" i="1"/>
  <c r="L132" i="1"/>
  <c r="L645" i="1"/>
  <c r="L587" i="1"/>
  <c r="L68" i="1"/>
  <c r="L79" i="1"/>
  <c r="L54" i="1"/>
  <c r="L61" i="1"/>
  <c r="L76" i="1"/>
  <c r="L99" i="1"/>
  <c r="L55" i="1"/>
  <c r="L143" i="1"/>
  <c r="L92" i="1"/>
  <c r="L88" i="1"/>
  <c r="L73" i="1"/>
  <c r="L90" i="1"/>
  <c r="L101" i="1"/>
  <c r="L150" i="1"/>
  <c r="L48" i="1"/>
  <c r="L65" i="1"/>
  <c r="L151" i="1"/>
  <c r="L120" i="1"/>
  <c r="L66" i="1"/>
  <c r="L91" i="1"/>
  <c r="L86" i="1"/>
  <c r="L89" i="1"/>
  <c r="L478" i="1"/>
  <c r="L496" i="1"/>
  <c r="L646" i="1"/>
  <c r="L576" i="1"/>
  <c r="L381" i="1"/>
  <c r="L629" i="1"/>
  <c r="L685" i="1"/>
  <c r="L858" i="1"/>
  <c r="L859" i="1"/>
  <c r="L440" i="1"/>
  <c r="L726" i="1"/>
  <c r="L790" i="1"/>
  <c r="L686" i="1"/>
  <c r="L691" i="1"/>
  <c r="L687" i="1"/>
  <c r="L550" i="1"/>
  <c r="L603" i="1"/>
  <c r="L945" i="1"/>
  <c r="L946" i="1"/>
  <c r="L956" i="1"/>
  <c r="L966" i="1"/>
  <c r="L971" i="1"/>
  <c r="L972" i="1"/>
  <c r="L947" i="1"/>
  <c r="L979" i="1"/>
  <c r="L929" i="1"/>
  <c r="L930" i="1"/>
  <c r="L931" i="1"/>
  <c r="L926" i="1"/>
  <c r="L927" i="1"/>
  <c r="L259" i="1"/>
  <c r="L300" i="1"/>
  <c r="L860" i="1"/>
  <c r="L861" i="1"/>
  <c r="L430" i="1"/>
  <c r="L973" i="1"/>
  <c r="L604" i="1"/>
  <c r="L873" i="1"/>
  <c r="L862" i="1"/>
  <c r="L512" i="1"/>
  <c r="L630" i="1"/>
  <c r="L406" i="1"/>
  <c r="L407" i="1"/>
  <c r="L688" i="1"/>
  <c r="L503" i="1"/>
  <c r="L753" i="1"/>
  <c r="L567" i="1"/>
  <c r="L568" i="1"/>
  <c r="L948" i="1"/>
  <c r="L569" i="1"/>
  <c r="L613" i="1"/>
  <c r="L701" i="1"/>
  <c r="L791" i="1"/>
  <c r="L727" i="1"/>
  <c r="L697" i="1"/>
  <c r="L754" i="1"/>
  <c r="L698" i="1"/>
  <c r="L620" i="1"/>
  <c r="L471" i="1"/>
  <c r="L472" i="1"/>
  <c r="L551" i="1"/>
  <c r="L497" i="1"/>
  <c r="L211" i="1"/>
  <c r="L479" i="1"/>
  <c r="L728" i="1"/>
  <c r="L899" i="1"/>
  <c r="L766" i="1"/>
  <c r="L301" i="1"/>
  <c r="L374" i="1"/>
  <c r="L420" i="1"/>
  <c r="L792" i="1"/>
  <c r="L299" i="1"/>
  <c r="L461" i="1"/>
  <c r="L980" i="1"/>
  <c r="L388" i="1"/>
  <c r="L470" i="1"/>
  <c r="L588" i="1"/>
  <c r="L818" i="1"/>
  <c r="L664" i="1"/>
  <c r="L523" i="1"/>
  <c r="L302" i="1"/>
  <c r="L307" i="1"/>
  <c r="L317" i="1"/>
  <c r="L431" i="1"/>
  <c r="L432" i="1"/>
  <c r="L415" i="1"/>
  <c r="L452" i="1"/>
  <c r="L451" i="1"/>
  <c r="L416" i="1"/>
  <c r="L304" i="1"/>
  <c r="L405" i="1"/>
  <c r="L305" i="1"/>
  <c r="L453" i="1"/>
  <c r="L303" i="1"/>
  <c r="L447" i="1"/>
  <c r="L390" i="1"/>
  <c r="L346" i="1"/>
  <c r="L379" i="1"/>
  <c r="L375" i="1"/>
  <c r="L368" i="1"/>
  <c r="L319" i="1"/>
  <c r="L350" i="1"/>
  <c r="L347" i="1"/>
  <c r="L247" i="1"/>
  <c r="L793" i="1"/>
  <c r="L713" i="1"/>
  <c r="L900" i="1"/>
  <c r="L901" i="1"/>
  <c r="L777" i="1"/>
  <c r="L891" i="1"/>
  <c r="L638" i="1"/>
  <c r="L240" i="1"/>
  <c r="L244" i="1"/>
  <c r="L217" i="1"/>
  <c r="L242" i="1"/>
  <c r="L237" i="1"/>
  <c r="L265" i="1"/>
  <c r="L218" i="1"/>
  <c r="L228" i="1"/>
  <c r="L225" i="1"/>
  <c r="L231" i="1"/>
  <c r="L266" i="1"/>
  <c r="L209" i="1"/>
  <c r="L221" i="1"/>
  <c r="L243" i="1"/>
  <c r="L229" i="1"/>
  <c r="L391" i="1"/>
  <c r="L392" i="1"/>
  <c r="L767" i="1"/>
  <c r="L421" i="1"/>
  <c r="L11" i="1"/>
  <c r="L12" i="1"/>
  <c r="L13" i="1"/>
  <c r="L14" i="1"/>
  <c r="L38" i="1"/>
  <c r="L794" i="1"/>
  <c r="L459" i="1"/>
  <c r="L918" i="1"/>
  <c r="L819" i="1"/>
  <c r="L570" i="1"/>
  <c r="L647" i="1"/>
  <c r="L940" i="1"/>
  <c r="L928" i="1"/>
  <c r="L589" i="1"/>
  <c r="L876" i="1"/>
  <c r="L547" i="1"/>
  <c r="L729" i="1"/>
  <c r="L605" i="1"/>
  <c r="L911" i="1"/>
  <c r="L190" i="1"/>
  <c r="L6" i="1"/>
  <c r="L62" i="1"/>
  <c r="L18" i="1"/>
  <c r="L590" i="1"/>
  <c r="L639" i="1"/>
  <c r="L648" i="1"/>
  <c r="L8" i="1"/>
  <c r="L10" i="1"/>
  <c r="L87" i="1"/>
  <c r="L112" i="1"/>
  <c r="L117" i="1"/>
  <c r="L121" i="1"/>
  <c r="L7" i="1"/>
  <c r="L9" i="1"/>
  <c r="L67" i="1"/>
  <c r="L126" i="1"/>
  <c r="L53" i="1"/>
  <c r="L254" i="1"/>
  <c r="L255" i="1"/>
  <c r="L256" i="1"/>
  <c r="L865" i="1"/>
  <c r="L932" i="1"/>
  <c r="L874" i="1"/>
  <c r="L702" i="1"/>
  <c r="L833" i="1"/>
  <c r="L730" i="1"/>
  <c r="L580" i="1"/>
  <c r="L902" i="1"/>
  <c r="L903" i="1"/>
  <c r="L866" i="1"/>
  <c r="L867" i="1"/>
  <c r="L581" i="1"/>
  <c r="L665" i="1"/>
  <c r="L666" i="1"/>
  <c r="L892" i="1"/>
  <c r="L742" i="1"/>
  <c r="L768" i="1"/>
  <c r="L769" i="1"/>
  <c r="L212" i="1"/>
  <c r="L743" i="1"/>
  <c r="L731" i="1"/>
  <c r="L649" i="1"/>
  <c r="L650" i="1"/>
  <c r="L513" i="1"/>
  <c r="L552" i="1"/>
  <c r="L560" i="1"/>
  <c r="L427" i="1"/>
  <c r="L826" i="1"/>
  <c r="L353" i="1"/>
  <c r="L417" i="1"/>
  <c r="L418" i="1"/>
  <c r="L957" i="1"/>
  <c r="L354" i="1"/>
  <c r="L964" i="1"/>
  <c r="L703" i="1"/>
  <c r="L264" i="1"/>
  <c r="L257" i="1"/>
  <c r="L258" i="1"/>
  <c r="L441" i="1"/>
  <c r="L357" i="1"/>
  <c r="L333" i="1"/>
  <c r="L306" i="1"/>
  <c r="L281" i="1"/>
  <c r="L282" i="1"/>
  <c r="L277" i="1"/>
  <c r="L278" i="1"/>
  <c r="L270" i="1"/>
  <c r="L248" i="1"/>
  <c r="L398" i="1"/>
  <c r="L399" i="1"/>
  <c r="L245" i="1"/>
  <c r="L233" i="1"/>
  <c r="L358" i="1"/>
  <c r="L341" i="1"/>
  <c r="L271" i="1"/>
  <c r="L338" i="1"/>
  <c r="L241" i="1"/>
  <c r="L318" i="1"/>
  <c r="L312" i="1"/>
  <c r="L433" i="1"/>
  <c r="L246" i="1"/>
  <c r="L219" i="1"/>
  <c r="L268" i="1"/>
  <c r="L263" i="1"/>
  <c r="L267" i="1"/>
  <c r="L220" i="1"/>
  <c r="L276" i="1"/>
  <c r="L279" i="1"/>
  <c r="L262" i="1"/>
  <c r="L287" i="1"/>
  <c r="L288" i="1"/>
  <c r="L283" i="1"/>
  <c r="L289" i="1"/>
  <c r="L290" i="1"/>
  <c r="L291" i="1"/>
  <c r="L297" i="1"/>
  <c r="L442" i="1"/>
  <c r="L364" i="1"/>
  <c r="L402" i="1"/>
  <c r="L343" i="1"/>
  <c r="L272" i="1"/>
  <c r="L293" i="1"/>
  <c r="L296" i="1"/>
  <c r="L553" i="1"/>
  <c r="L561" i="1"/>
  <c r="L755" i="1"/>
  <c r="L524" i="1"/>
  <c r="L597" i="1"/>
  <c r="L893" i="1"/>
  <c r="L489" i="1"/>
  <c r="L621" i="1"/>
  <c r="L770" i="1"/>
  <c r="L622" i="1"/>
  <c r="L314" i="1"/>
  <c r="L732" i="1"/>
  <c r="L355" i="1"/>
  <c r="L422" i="1"/>
  <c r="L480" i="1"/>
  <c r="L606" i="1"/>
  <c r="L692" i="1"/>
  <c r="L481" i="1"/>
  <c r="L382" i="1"/>
  <c r="L795" i="1"/>
  <c r="L623" i="1"/>
  <c r="L714" i="1"/>
  <c r="L778" i="1"/>
  <c r="L514" i="1"/>
  <c r="L438" i="1"/>
  <c r="L571" i="1"/>
  <c r="L843" i="1"/>
  <c r="L844" i="1"/>
  <c r="L631" i="1"/>
  <c r="L50" i="1"/>
  <c r="L80" i="1"/>
  <c r="L47" i="1"/>
  <c r="L57" i="1"/>
  <c r="L58" i="1"/>
  <c r="L490" i="1"/>
  <c r="L361" i="1"/>
  <c r="L473" i="1"/>
  <c r="L554" i="1"/>
  <c r="L462" i="1"/>
  <c r="L482" i="1"/>
  <c r="L693" i="1"/>
  <c r="L591" i="1"/>
  <c r="L483" i="1"/>
  <c r="L721" i="1"/>
  <c r="L894" i="1"/>
  <c r="L498" i="1"/>
  <c r="L863" i="1"/>
  <c r="L323" i="1"/>
  <c r="L555" i="1"/>
  <c r="L156" i="1"/>
  <c r="L454" i="1"/>
  <c r="L226" i="1"/>
  <c r="L607" i="1"/>
  <c r="L651" i="1"/>
  <c r="L222" i="1"/>
  <c r="L369" i="1"/>
  <c r="L400" i="1"/>
  <c r="L396" i="1"/>
  <c r="L556" i="1"/>
  <c r="L408" i="1"/>
  <c r="L425" i="1"/>
  <c r="L463" i="1"/>
  <c r="L344" i="1"/>
  <c r="L484" i="1"/>
  <c r="L393" i="1"/>
  <c r="L428" i="1"/>
  <c r="L912" i="1"/>
  <c r="L744" i="1"/>
  <c r="L796" i="1"/>
  <c r="L674" i="1"/>
  <c r="L958" i="1"/>
  <c r="L592" i="1"/>
  <c r="L963" i="1"/>
  <c r="L950" i="1"/>
  <c r="L913" i="1"/>
  <c r="L56" i="1"/>
  <c r="L864" i="1"/>
  <c r="L179" i="1"/>
  <c r="L202" i="1"/>
  <c r="L195" i="1"/>
  <c r="L174" i="1"/>
  <c r="L182" i="1"/>
  <c r="L652" i="1"/>
  <c r="L525" i="1"/>
  <c r="L394" i="1"/>
  <c r="L653" i="1"/>
  <c r="L348" i="1"/>
  <c r="L526" i="1"/>
  <c r="L733" i="1"/>
  <c r="L914" i="1"/>
  <c r="L527" i="1"/>
  <c r="L875" i="1"/>
  <c r="L528" i="1"/>
  <c r="L529" i="1"/>
  <c r="L675" i="1"/>
  <c r="L530" i="1"/>
  <c r="L877" i="1"/>
  <c r="L184" i="1"/>
  <c r="L933" i="1"/>
  <c r="L154" i="1"/>
  <c r="L185" i="1"/>
  <c r="L531" i="1"/>
  <c r="L922" i="1"/>
  <c r="L158" i="1"/>
  <c r="L186" i="1"/>
  <c r="L146" i="1"/>
  <c r="L193" i="1"/>
  <c r="L187" i="1"/>
  <c r="L147" i="1"/>
  <c r="L934" i="1"/>
  <c r="L532" i="1"/>
  <c r="L533" i="1"/>
  <c r="L534" i="1"/>
  <c r="L734" i="1"/>
  <c r="L985" i="1"/>
  <c r="L183" i="1"/>
  <c r="L965" i="1"/>
  <c r="L951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535" i="1"/>
  <c r="L810" i="1"/>
  <c r="L811" i="1"/>
  <c r="L188" i="1"/>
  <c r="L194" i="1"/>
  <c r="L536" i="1"/>
  <c r="L919" i="1"/>
  <c r="L537" i="1"/>
  <c r="L538" i="1"/>
  <c r="L539" i="1"/>
  <c r="L540" i="1"/>
  <c r="L541" i="1"/>
  <c r="L542" i="1"/>
  <c r="L543" i="1"/>
  <c r="L562" i="1"/>
  <c r="L952" i="1"/>
  <c r="L464" i="1"/>
  <c r="L632" i="1"/>
  <c r="L633" i="1"/>
  <c r="L337" i="1"/>
  <c r="L544" i="1"/>
  <c r="L485" i="1"/>
  <c r="L486" i="1"/>
  <c r="L895" i="1"/>
  <c r="L423" i="1"/>
  <c r="L593" i="1"/>
  <c r="L614" i="1"/>
  <c r="L904" i="1"/>
  <c r="L779" i="1"/>
  <c r="L715" i="1"/>
  <c r="L716" i="1"/>
  <c r="L756" i="1"/>
  <c r="L771" i="1"/>
  <c r="L845" i="1"/>
  <c r="L846" i="1"/>
  <c r="L832" i="1"/>
  <c r="L812" i="1"/>
  <c r="L827" i="1"/>
  <c r="L828" i="1"/>
  <c r="L563" i="1"/>
  <c r="L564" i="1"/>
  <c r="L967" i="1"/>
  <c r="L81" i="1"/>
  <c r="L577" i="1"/>
  <c r="L667" i="1"/>
  <c r="L308" i="1"/>
  <c r="L298" i="1"/>
  <c r="L309" i="1"/>
  <c r="L284" i="1"/>
  <c r="L310" i="1"/>
  <c r="L311" i="1"/>
  <c r="L477" i="1"/>
  <c r="L905" i="1"/>
  <c r="L572" i="1"/>
  <c r="L906" i="1"/>
  <c r="L829" i="1"/>
  <c r="L615" i="1"/>
  <c r="L545" i="1"/>
  <c r="L820" i="1"/>
  <c r="L64" i="1"/>
  <c r="L60" i="1"/>
  <c r="L285" i="1"/>
  <c r="L168" i="1"/>
  <c r="L172" i="1"/>
  <c r="L508" i="1"/>
  <c r="L640" i="1"/>
  <c r="L204" i="1"/>
  <c r="L15" i="1"/>
  <c r="L16" i="1"/>
  <c r="L21" i="1"/>
  <c r="L22" i="1"/>
  <c r="L32" i="1"/>
  <c r="L850" i="1"/>
  <c r="L616" i="1"/>
  <c r="L617" i="1"/>
  <c r="L409" i="1"/>
  <c r="L295" i="1"/>
  <c r="L294" i="1"/>
  <c r="L694" i="1"/>
  <c r="L676" i="1"/>
  <c r="L920" i="1"/>
  <c r="L695" i="1"/>
  <c r="L960" i="1"/>
  <c r="L699" i="1"/>
  <c r="L923" i="1"/>
  <c r="L4" i="1"/>
  <c r="L634" i="1"/>
  <c r="L443" i="1"/>
  <c r="L444" i="1"/>
  <c r="L351" i="1"/>
  <c r="L445" i="1"/>
  <c r="L223" i="1"/>
  <c r="L224" i="1"/>
  <c r="L215" i="1"/>
  <c r="L216" i="1"/>
  <c r="L915" i="1"/>
  <c r="L313" i="1"/>
  <c r="L322" i="1"/>
  <c r="L320" i="1"/>
  <c r="L334" i="1"/>
  <c r="L331" i="1"/>
  <c r="L213" i="1"/>
  <c r="L189" i="1"/>
  <c r="L214" i="1"/>
  <c r="L191" i="1"/>
  <c r="L192" i="1"/>
  <c r="L207" i="1"/>
  <c r="L986" i="1"/>
  <c r="L51" i="1"/>
  <c r="L608" i="1"/>
  <c r="L981" i="1"/>
  <c r="L941" i="1"/>
  <c r="L959" i="1"/>
  <c r="L410" i="1"/>
  <c r="L411" i="1"/>
  <c r="L412" i="1"/>
  <c r="L372" i="1"/>
  <c r="L465" i="1"/>
  <c r="L722" i="1"/>
  <c r="L466" i="1"/>
  <c r="L939" i="1"/>
  <c r="L582" i="1"/>
  <c r="L821" i="1"/>
  <c r="L916" i="1"/>
  <c r="L822" i="1"/>
  <c r="L491" i="1"/>
  <c r="L677" i="1"/>
  <c r="L546" i="1"/>
  <c r="L654" i="1"/>
  <c r="L968" i="1"/>
  <c r="L935" i="1"/>
  <c r="L678" i="1"/>
  <c r="L868" i="1"/>
  <c r="L52" i="1"/>
  <c r="L780" i="1"/>
  <c r="L618" i="1"/>
  <c r="L781" i="1"/>
  <c r="L813" i="1"/>
  <c r="L557" i="1"/>
  <c r="L745" i="1"/>
  <c r="L668" i="1"/>
  <c r="L434" i="1"/>
  <c r="L823" i="1"/>
  <c r="L669" i="1"/>
  <c r="L370" i="1"/>
  <c r="L609" i="1"/>
  <c r="L610" i="1"/>
  <c r="L982" i="1"/>
  <c r="L983" i="1"/>
  <c r="L869" i="1"/>
  <c r="L984" i="1"/>
  <c r="L870" i="1"/>
  <c r="L936" i="1"/>
  <c r="L879" i="1"/>
  <c r="L735" i="1"/>
  <c r="L759" i="1"/>
  <c r="L757" i="1"/>
  <c r="L942" i="1"/>
  <c r="L921" i="1"/>
  <c r="L611" i="1"/>
  <c r="L953" i="1"/>
  <c r="L758" i="1"/>
  <c r="L847" i="1"/>
  <c r="L152" i="1"/>
  <c r="L328" i="1"/>
  <c r="L329" i="1"/>
  <c r="L269" i="1"/>
  <c r="L384" i="1"/>
  <c r="L655" i="1"/>
  <c r="L896" i="1"/>
  <c r="L385" i="1"/>
  <c r="L598" i="1"/>
  <c r="L397" i="1"/>
  <c r="L515" i="1"/>
  <c r="L516" i="1"/>
  <c r="L997" i="1"/>
  <c r="L987" i="1"/>
  <c r="L974" i="1"/>
  <c r="L992" i="1"/>
  <c r="L961" i="1"/>
  <c r="L962" i="1"/>
  <c r="L995" i="1"/>
  <c r="L949" i="1"/>
  <c r="L988" i="1"/>
  <c r="L851" i="1"/>
  <c r="L998" i="1"/>
  <c r="L594" i="1"/>
  <c r="L578" i="1"/>
  <c r="L435" i="1"/>
  <c r="L436" i="1"/>
  <c r="L437" i="1"/>
  <c r="L999" i="1"/>
  <c r="L395" i="1"/>
  <c r="L989" i="1"/>
  <c r="L990" i="1"/>
  <c r="L994" i="1"/>
  <c r="L996" i="1"/>
  <c r="L975" i="1"/>
  <c r="L976" i="1"/>
  <c r="L977" i="1"/>
  <c r="L993" i="1"/>
  <c r="L991" i="1"/>
  <c r="L814" i="1"/>
  <c r="L815" i="1"/>
  <c r="L159" i="1"/>
  <c r="L848" i="1"/>
  <c r="L772" i="1"/>
  <c r="L315" i="1"/>
  <c r="L635" i="1"/>
  <c r="L736" i="1"/>
  <c r="L917" i="1"/>
  <c r="L830" i="1"/>
  <c r="L969" i="1"/>
  <c r="L717" i="1"/>
  <c r="L336" i="1"/>
  <c r="L345" i="1"/>
  <c r="L97" i="1"/>
  <c r="L69" i="1"/>
  <c r="L96" i="1"/>
  <c r="L74" i="1"/>
  <c r="L93" i="1"/>
  <c r="L114" i="1"/>
  <c r="L98" i="1"/>
  <c r="L115" i="1"/>
  <c r="L94" i="1"/>
  <c r="L113" i="1"/>
  <c r="L125" i="1"/>
  <c r="L95" i="1"/>
  <c r="L325" i="1"/>
  <c r="L326" i="1"/>
  <c r="L565" i="1"/>
  <c r="L566" i="1"/>
  <c r="L517" i="1"/>
  <c r="L970" i="1"/>
  <c r="L943" i="1"/>
  <c r="L871" i="1"/>
  <c r="L872" i="1"/>
  <c r="L831" i="1"/>
  <c r="L746" i="1"/>
  <c r="L737" i="1"/>
  <c r="L624" i="1"/>
  <c r="L386" i="1"/>
  <c r="L371" i="1"/>
  <c r="L316" i="1"/>
  <c r="C852" i="1"/>
  <c r="K852" i="1"/>
  <c r="C853" i="1"/>
  <c r="K853" i="1"/>
  <c r="C849" i="1"/>
  <c r="K849" i="1"/>
  <c r="C782" i="1"/>
  <c r="K782" i="1"/>
  <c r="C518" i="1"/>
  <c r="K518" i="1"/>
  <c r="C519" i="1"/>
  <c r="K519" i="1"/>
  <c r="C783" i="1"/>
  <c r="K783" i="1"/>
  <c r="C504" i="1"/>
  <c r="K504" i="1"/>
  <c r="C784" i="1"/>
  <c r="K784" i="1"/>
  <c r="C133" i="1"/>
  <c r="K133" i="1"/>
  <c r="C102" i="1"/>
  <c r="K102" i="1"/>
  <c r="C134" i="1"/>
  <c r="K134" i="1"/>
  <c r="C123" i="1"/>
  <c r="K123" i="1"/>
  <c r="C103" i="1"/>
  <c r="K103" i="1"/>
  <c r="C104" i="1"/>
  <c r="K104" i="1"/>
  <c r="C19" i="1"/>
  <c r="K19" i="1"/>
  <c r="C135" i="1"/>
  <c r="K135" i="1"/>
  <c r="C105" i="1"/>
  <c r="K105" i="1"/>
  <c r="C82" i="1"/>
  <c r="K82" i="1"/>
  <c r="C106" i="1"/>
  <c r="K106" i="1"/>
  <c r="C136" i="1"/>
  <c r="K136" i="1"/>
  <c r="C107" i="1"/>
  <c r="K107" i="1"/>
  <c r="C137" i="1"/>
  <c r="K137" i="1"/>
  <c r="C83" i="1"/>
  <c r="K83" i="1"/>
  <c r="C138" i="1"/>
  <c r="K138" i="1"/>
  <c r="C139" i="1"/>
  <c r="K139" i="1"/>
  <c r="C140" i="1"/>
  <c r="K140" i="1"/>
  <c r="C141" i="1"/>
  <c r="K141" i="1"/>
  <c r="C84" i="1"/>
  <c r="K84" i="1"/>
  <c r="C747" i="1"/>
  <c r="K747" i="1"/>
  <c r="C897" i="1"/>
  <c r="K897" i="1"/>
  <c r="C880" i="1"/>
  <c r="K880" i="1"/>
  <c r="C419" i="1"/>
  <c r="K419" i="1"/>
  <c r="C718" i="1"/>
  <c r="K718" i="1"/>
  <c r="C834" i="1"/>
  <c r="K834" i="1"/>
  <c r="C689" i="1"/>
  <c r="K689" i="1"/>
  <c r="C719" i="1"/>
  <c r="K719" i="1"/>
  <c r="C881" i="1"/>
  <c r="K881" i="1"/>
  <c r="C773" i="1"/>
  <c r="K773" i="1"/>
  <c r="C774" i="1"/>
  <c r="K774" i="1"/>
  <c r="C704" i="1"/>
  <c r="K704" i="1"/>
  <c r="C238" i="1"/>
  <c r="K238" i="1"/>
  <c r="C198" i="1"/>
  <c r="K198" i="1"/>
  <c r="C239" i="1"/>
  <c r="K239" i="1"/>
  <c r="C232" i="1"/>
  <c r="K232" i="1"/>
  <c r="C499" i="1"/>
  <c r="K499" i="1"/>
  <c r="C429" i="1"/>
  <c r="K429" i="1"/>
  <c r="C924" i="1"/>
  <c r="K924" i="1"/>
  <c r="C925" i="1"/>
  <c r="K925" i="1"/>
  <c r="C775" i="1"/>
  <c r="K775" i="1"/>
  <c r="C882" i="1"/>
  <c r="K882" i="1"/>
  <c r="C583" i="1"/>
  <c r="K583" i="1"/>
  <c r="C835" i="1"/>
  <c r="K835" i="1"/>
  <c r="C854" i="1"/>
  <c r="K854" i="1"/>
  <c r="C467" i="1"/>
  <c r="K467" i="1"/>
  <c r="C492" i="1"/>
  <c r="K492" i="1"/>
  <c r="C468" i="1"/>
  <c r="K468" i="1"/>
  <c r="C679" i="1"/>
  <c r="K679" i="1"/>
  <c r="C595" i="1"/>
  <c r="K595" i="1"/>
  <c r="C705" i="1"/>
  <c r="K705" i="1"/>
  <c r="C706" i="1"/>
  <c r="K706" i="1"/>
  <c r="C208" i="1"/>
  <c r="K208" i="1"/>
  <c r="C205" i="1"/>
  <c r="K205" i="1"/>
  <c r="C230" i="1"/>
  <c r="K230" i="1"/>
  <c r="C197" i="1"/>
  <c r="K197" i="1"/>
  <c r="C203" i="1"/>
  <c r="K203" i="1"/>
  <c r="C249" i="1"/>
  <c r="K249" i="1"/>
  <c r="C273" i="1"/>
  <c r="K273" i="1"/>
  <c r="C260" i="1"/>
  <c r="K260" i="1"/>
  <c r="C274" i="1"/>
  <c r="K274" i="1"/>
  <c r="C275" i="1"/>
  <c r="K275" i="1"/>
  <c r="C253" i="1"/>
  <c r="K253" i="1"/>
  <c r="C455" i="1"/>
  <c r="K455" i="1"/>
  <c r="C456" i="1"/>
  <c r="K456" i="1"/>
  <c r="C457" i="1"/>
  <c r="K457" i="1"/>
  <c r="C458" i="1"/>
  <c r="K458" i="1"/>
  <c r="C670" i="1"/>
  <c r="K670" i="1"/>
  <c r="C671" i="1"/>
  <c r="K671" i="1"/>
  <c r="C690" i="1"/>
  <c r="K690" i="1"/>
  <c r="C738" i="1"/>
  <c r="K738" i="1"/>
  <c r="C836" i="1"/>
  <c r="K836" i="1"/>
  <c r="C739" i="1"/>
  <c r="K739" i="1"/>
  <c r="C520" i="1"/>
  <c r="K520" i="1"/>
  <c r="C521" i="1"/>
  <c r="K521" i="1"/>
  <c r="C324" i="1"/>
  <c r="K324" i="1"/>
  <c r="C584" i="1"/>
  <c r="K584" i="1"/>
  <c r="C656" i="1"/>
  <c r="K656" i="1"/>
  <c r="C373" i="1"/>
  <c r="K373" i="1"/>
  <c r="C342" i="1"/>
  <c r="K342" i="1"/>
  <c r="C898" i="1"/>
  <c r="K898" i="1"/>
  <c r="C335" i="1"/>
  <c r="K335" i="1"/>
  <c r="C446" i="1"/>
  <c r="K446" i="1"/>
  <c r="C448" i="1"/>
  <c r="K448" i="1"/>
  <c r="C460" i="1"/>
  <c r="K460" i="1"/>
  <c r="C330" i="1"/>
  <c r="K330" i="1"/>
  <c r="C349" i="1"/>
  <c r="K349" i="1"/>
  <c r="C474" i="1"/>
  <c r="K474" i="1"/>
  <c r="C365" i="1"/>
  <c r="K365" i="1"/>
  <c r="C352" i="1"/>
  <c r="K352" i="1"/>
  <c r="C500" i="1"/>
  <c r="K500" i="1"/>
  <c r="C321" i="1"/>
  <c r="K321" i="1"/>
  <c r="C359" i="1"/>
  <c r="K359" i="1"/>
  <c r="C327" i="1"/>
  <c r="K327" i="1"/>
  <c r="C625" i="1"/>
  <c r="K625" i="1"/>
  <c r="C573" i="1"/>
  <c r="K573" i="1"/>
  <c r="C413" i="1"/>
  <c r="K413" i="1"/>
  <c r="C401" i="1"/>
  <c r="K401" i="1"/>
  <c r="C383" i="1"/>
  <c r="K383" i="1"/>
  <c r="C367" i="1"/>
  <c r="K367" i="1"/>
  <c r="C380" i="1"/>
  <c r="K380" i="1"/>
  <c r="C366" i="1"/>
  <c r="K366" i="1"/>
  <c r="C509" i="1"/>
  <c r="K509" i="1"/>
  <c r="C377" i="1"/>
  <c r="K377" i="1"/>
  <c r="C501" i="1"/>
  <c r="K501" i="1"/>
  <c r="C657" i="1"/>
  <c r="K657" i="1"/>
  <c r="C200" i="1"/>
  <c r="K200" i="1"/>
  <c r="C636" i="1"/>
  <c r="K636" i="1"/>
  <c r="C118" i="1"/>
  <c r="K118" i="1"/>
  <c r="C149" i="1"/>
  <c r="K149" i="1"/>
  <c r="C153" i="1"/>
  <c r="K153" i="1"/>
  <c r="C173" i="1"/>
  <c r="K173" i="1"/>
  <c r="C170" i="1"/>
  <c r="K170" i="1"/>
  <c r="C672" i="1"/>
  <c r="K672" i="1"/>
  <c r="C49" i="1"/>
  <c r="K49" i="1"/>
  <c r="C378" i="1"/>
  <c r="K378" i="1"/>
  <c r="C599" i="1"/>
  <c r="K599" i="1"/>
  <c r="C600" i="1"/>
  <c r="K600" i="1"/>
  <c r="C740" i="1"/>
  <c r="K740" i="1"/>
  <c r="C748" i="1"/>
  <c r="K748" i="1"/>
  <c r="C749" i="1"/>
  <c r="K749" i="1"/>
  <c r="C760" i="1"/>
  <c r="K760" i="1"/>
  <c r="C761" i="1"/>
  <c r="K761" i="1"/>
  <c r="C837" i="1"/>
  <c r="K837" i="1"/>
  <c r="C838" i="1"/>
  <c r="K838" i="1"/>
  <c r="C839" i="1"/>
  <c r="K839" i="1"/>
  <c r="C907" i="1"/>
  <c r="K907" i="1"/>
  <c r="C908" i="1"/>
  <c r="K908" i="1"/>
  <c r="C909" i="1"/>
  <c r="K909" i="1"/>
  <c r="C855" i="1"/>
  <c r="K855" i="1"/>
  <c r="C161" i="1"/>
  <c r="K161" i="1"/>
  <c r="C878" i="1"/>
  <c r="K878" i="1"/>
  <c r="C574" i="1"/>
  <c r="K574" i="1"/>
  <c r="C601" i="1"/>
  <c r="K601" i="1"/>
  <c r="C641" i="1"/>
  <c r="K641" i="1"/>
  <c r="C142" i="1"/>
  <c r="K142" i="1"/>
  <c r="C642" i="1"/>
  <c r="K642" i="1"/>
  <c r="C762" i="1"/>
  <c r="K762" i="1"/>
  <c r="C502" i="1"/>
  <c r="K502" i="1"/>
  <c r="C741" i="1"/>
  <c r="K741" i="1"/>
  <c r="C71" i="1"/>
  <c r="K71" i="1"/>
  <c r="C72" i="1"/>
  <c r="K72" i="1"/>
  <c r="C75" i="1"/>
  <c r="K75" i="1"/>
  <c r="C720" i="1"/>
  <c r="K720" i="1"/>
  <c r="C234" i="1"/>
  <c r="K234" i="1"/>
  <c r="C235" i="1"/>
  <c r="K235" i="1"/>
  <c r="C236" i="1"/>
  <c r="K236" i="1"/>
  <c r="C280" i="1"/>
  <c r="K280" i="1"/>
  <c r="C250" i="1"/>
  <c r="K250" i="1"/>
  <c r="C251" i="1"/>
  <c r="K251" i="1"/>
  <c r="C252" i="1"/>
  <c r="K252" i="1"/>
  <c r="C426" i="1"/>
  <c r="K426" i="1"/>
  <c r="C785" i="1"/>
  <c r="K785" i="1"/>
  <c r="C469" i="1"/>
  <c r="K469" i="1"/>
  <c r="C596" i="1"/>
  <c r="K596" i="1"/>
  <c r="C493" i="1"/>
  <c r="K493" i="1"/>
  <c r="C227" i="1"/>
  <c r="K227" i="1"/>
  <c r="C487" i="1"/>
  <c r="K487" i="1"/>
  <c r="C658" i="1"/>
  <c r="K658" i="1"/>
  <c r="C659" i="1"/>
  <c r="K659" i="1"/>
  <c r="C763" i="1"/>
  <c r="K763" i="1"/>
  <c r="C883" i="1"/>
  <c r="K883" i="1"/>
  <c r="C884" i="1"/>
  <c r="K884" i="1"/>
  <c r="C575" i="1"/>
  <c r="K575" i="1"/>
  <c r="C356" i="1"/>
  <c r="K356" i="1"/>
  <c r="C35" i="1"/>
  <c r="K35" i="1"/>
  <c r="C33" i="1"/>
  <c r="K33" i="1"/>
  <c r="C30" i="1"/>
  <c r="K30" i="1"/>
  <c r="C29" i="1"/>
  <c r="K29" i="1"/>
  <c r="C25" i="1"/>
  <c r="K25" i="1"/>
  <c r="C36" i="1"/>
  <c r="K36" i="1"/>
  <c r="C26" i="1"/>
  <c r="K26" i="1"/>
  <c r="C31" i="1"/>
  <c r="K31" i="1"/>
  <c r="C17" i="1"/>
  <c r="K17" i="1"/>
  <c r="C20" i="1"/>
  <c r="K20" i="1"/>
  <c r="C28" i="1"/>
  <c r="K28" i="1"/>
  <c r="C44" i="1"/>
  <c r="K44" i="1"/>
  <c r="C39" i="1"/>
  <c r="K39" i="1"/>
  <c r="C45" i="1"/>
  <c r="K45" i="1"/>
  <c r="C46" i="1"/>
  <c r="K46" i="1"/>
  <c r="C40" i="1"/>
  <c r="K40" i="1"/>
  <c r="C41" i="1"/>
  <c r="K41" i="1"/>
  <c r="C34" i="1"/>
  <c r="K34" i="1"/>
  <c r="C37" i="1"/>
  <c r="K37" i="1"/>
  <c r="C24" i="1"/>
  <c r="K24" i="1"/>
  <c r="C42" i="1"/>
  <c r="K42" i="1"/>
  <c r="C43" i="1"/>
  <c r="K43" i="1"/>
  <c r="C23" i="1"/>
  <c r="K23" i="1"/>
  <c r="C776" i="1"/>
  <c r="K776" i="1"/>
  <c r="C116" i="1"/>
  <c r="K116" i="1"/>
  <c r="C100" i="1"/>
  <c r="K100" i="1"/>
  <c r="C110" i="1"/>
  <c r="K110" i="1"/>
  <c r="C85" i="1"/>
  <c r="K85" i="1"/>
  <c r="C362" i="1"/>
  <c r="K362" i="1"/>
  <c r="C332" i="1"/>
  <c r="K332" i="1"/>
  <c r="C494" i="1"/>
  <c r="K494" i="1"/>
  <c r="C885" i="1"/>
  <c r="K885" i="1"/>
  <c r="C558" i="1"/>
  <c r="K558" i="1"/>
  <c r="C387" i="1"/>
  <c r="K387" i="1"/>
  <c r="C856" i="1"/>
  <c r="K856" i="1"/>
  <c r="C637" i="1"/>
  <c r="K637" i="1"/>
  <c r="C164" i="1"/>
  <c r="K164" i="1"/>
  <c r="C160" i="1"/>
  <c r="K160" i="1"/>
  <c r="C162" i="1"/>
  <c r="K162" i="1"/>
  <c r="C171" i="1"/>
  <c r="K171" i="1"/>
  <c r="C144" i="1"/>
  <c r="K144" i="1"/>
  <c r="C175" i="1"/>
  <c r="K175" i="1"/>
  <c r="C201" i="1"/>
  <c r="K201" i="1"/>
  <c r="C199" i="1"/>
  <c r="K199" i="1"/>
  <c r="C165" i="1"/>
  <c r="K165" i="1"/>
  <c r="C169" i="1"/>
  <c r="K169" i="1"/>
  <c r="C167" i="1"/>
  <c r="K167" i="1"/>
  <c r="C166" i="1"/>
  <c r="K166" i="1"/>
  <c r="C886" i="1"/>
  <c r="K886" i="1"/>
  <c r="C887" i="1"/>
  <c r="K887" i="1"/>
  <c r="C888" i="1"/>
  <c r="K888" i="1"/>
  <c r="C176" i="1"/>
  <c r="K176" i="1"/>
  <c r="C181" i="1"/>
  <c r="K181" i="1"/>
  <c r="C196" i="1"/>
  <c r="K196" i="1"/>
  <c r="C177" i="1"/>
  <c r="K177" i="1"/>
  <c r="C180" i="1"/>
  <c r="K180" i="1"/>
  <c r="C178" i="1"/>
  <c r="K178" i="1"/>
  <c r="C937" i="1"/>
  <c r="K937" i="1"/>
  <c r="C938" i="1"/>
  <c r="K938" i="1"/>
  <c r="C505" i="1"/>
  <c r="K505" i="1"/>
  <c r="C680" i="1"/>
  <c r="K680" i="1"/>
  <c r="C750" i="1"/>
  <c r="K750" i="1"/>
  <c r="C339" i="1"/>
  <c r="K339" i="1"/>
  <c r="C286" i="1"/>
  <c r="K286" i="1"/>
  <c r="C340" i="1"/>
  <c r="K340" i="1"/>
  <c r="C673" i="1"/>
  <c r="K673" i="1"/>
  <c r="C786" i="1"/>
  <c r="K786" i="1"/>
  <c r="C910" i="1"/>
  <c r="K910" i="1"/>
  <c r="C978" i="1"/>
  <c r="K978" i="1"/>
  <c r="C751" i="1"/>
  <c r="K751" i="1"/>
  <c r="C840" i="1"/>
  <c r="K840" i="1"/>
  <c r="C889" i="1"/>
  <c r="K889" i="1"/>
  <c r="C681" i="1"/>
  <c r="K681" i="1"/>
  <c r="C787" i="1"/>
  <c r="K787" i="1"/>
  <c r="C723" i="1"/>
  <c r="K723" i="1"/>
  <c r="C643" i="1"/>
  <c r="K643" i="1"/>
  <c r="C682" i="1"/>
  <c r="K682" i="1"/>
  <c r="C890" i="1"/>
  <c r="K890" i="1"/>
  <c r="C510" i="1"/>
  <c r="K510" i="1"/>
  <c r="C626" i="1"/>
  <c r="K626" i="1"/>
  <c r="C627" i="1"/>
  <c r="K627" i="1"/>
  <c r="C579" i="1"/>
  <c r="K579" i="1"/>
  <c r="C210" i="1"/>
  <c r="K210" i="1"/>
  <c r="C707" i="1"/>
  <c r="K707" i="1"/>
  <c r="C439" i="1"/>
  <c r="K439" i="1"/>
  <c r="C475" i="1"/>
  <c r="K475" i="1"/>
  <c r="C261" i="1"/>
  <c r="K261" i="1"/>
  <c r="C548" i="1"/>
  <c r="K548" i="1"/>
  <c r="C628" i="1"/>
  <c r="K628" i="1"/>
  <c r="C724" i="1"/>
  <c r="K724" i="1"/>
  <c r="C708" i="1"/>
  <c r="K708" i="1"/>
  <c r="C752" i="1"/>
  <c r="K752" i="1"/>
  <c r="C764" i="1"/>
  <c r="K764" i="1"/>
  <c r="C683" i="1"/>
  <c r="K683" i="1"/>
  <c r="C644" i="1"/>
  <c r="K644" i="1"/>
  <c r="C709" i="1"/>
  <c r="K709" i="1"/>
  <c r="C710" i="1"/>
  <c r="K710" i="1"/>
  <c r="C711" i="1"/>
  <c r="K711" i="1"/>
  <c r="C788" i="1"/>
  <c r="K788" i="1"/>
  <c r="C549" i="1"/>
  <c r="K549" i="1"/>
  <c r="C585" i="1"/>
  <c r="K585" i="1"/>
  <c r="C684" i="1"/>
  <c r="K684" i="1"/>
  <c r="C586" i="1"/>
  <c r="K586" i="1"/>
  <c r="C816" i="1"/>
  <c r="K816" i="1"/>
  <c r="C424" i="1"/>
  <c r="K424" i="1"/>
  <c r="C506" i="1"/>
  <c r="K506" i="1"/>
  <c r="C660" i="1"/>
  <c r="K660" i="1"/>
  <c r="C661" i="1"/>
  <c r="K661" i="1"/>
  <c r="C360" i="1"/>
  <c r="K360" i="1"/>
  <c r="C507" i="1"/>
  <c r="K507" i="1"/>
  <c r="C824" i="1"/>
  <c r="K824" i="1"/>
  <c r="C817" i="1"/>
  <c r="K817" i="1"/>
  <c r="C841" i="1"/>
  <c r="K841" i="1"/>
  <c r="C363" i="1"/>
  <c r="K363" i="1"/>
  <c r="C376" i="1"/>
  <c r="K376" i="1"/>
  <c r="C488" i="1"/>
  <c r="K488" i="1"/>
  <c r="C157" i="1"/>
  <c r="K157" i="1"/>
  <c r="C163" i="1"/>
  <c r="K163" i="1"/>
  <c r="C155" i="1"/>
  <c r="K155" i="1"/>
  <c r="C522" i="1"/>
  <c r="K522" i="1"/>
  <c r="C476" i="1"/>
  <c r="K476" i="1"/>
  <c r="C662" i="1"/>
  <c r="K662" i="1"/>
  <c r="C825" i="1"/>
  <c r="K825" i="1"/>
  <c r="C712" i="1"/>
  <c r="K712" i="1"/>
  <c r="C206" i="1"/>
  <c r="K206" i="1"/>
  <c r="C602" i="1"/>
  <c r="K602" i="1"/>
  <c r="C559" i="1"/>
  <c r="K559" i="1"/>
  <c r="C789" i="1"/>
  <c r="K789" i="1"/>
  <c r="C403" i="1"/>
  <c r="K403" i="1"/>
  <c r="C404" i="1"/>
  <c r="K404" i="1"/>
  <c r="C944" i="1"/>
  <c r="K944" i="1"/>
  <c r="C414" i="1"/>
  <c r="K414" i="1"/>
  <c r="C954" i="1"/>
  <c r="K954" i="1"/>
  <c r="C955" i="1"/>
  <c r="K955" i="1"/>
  <c r="C511" i="1"/>
  <c r="K511" i="1"/>
  <c r="C449" i="1"/>
  <c r="K449" i="1"/>
  <c r="C495" i="1"/>
  <c r="K495" i="1"/>
  <c r="C857" i="1"/>
  <c r="K857" i="1"/>
  <c r="C450" i="1"/>
  <c r="K450" i="1"/>
  <c r="C619" i="1"/>
  <c r="K619" i="1"/>
  <c r="C389" i="1"/>
  <c r="K389" i="1"/>
  <c r="C696" i="1"/>
  <c r="K696" i="1"/>
  <c r="C663" i="1"/>
  <c r="K663" i="1"/>
  <c r="C765" i="1"/>
  <c r="K765" i="1"/>
  <c r="C842" i="1"/>
  <c r="K842" i="1"/>
  <c r="C725" i="1"/>
  <c r="K725" i="1"/>
  <c r="C612" i="1"/>
  <c r="K612" i="1"/>
  <c r="C27" i="1"/>
  <c r="K27" i="1"/>
  <c r="C700" i="1"/>
  <c r="K700" i="1"/>
  <c r="C292" i="1"/>
  <c r="K292" i="1"/>
  <c r="C77" i="1"/>
  <c r="K77" i="1"/>
  <c r="C130" i="1"/>
  <c r="K130" i="1"/>
  <c r="C129" i="1"/>
  <c r="K129" i="1"/>
  <c r="C63" i="1"/>
  <c r="K63" i="1"/>
  <c r="C78" i="1"/>
  <c r="K78" i="1"/>
  <c r="C127" i="1"/>
  <c r="K127" i="1"/>
  <c r="C145" i="1"/>
  <c r="K145" i="1"/>
  <c r="C124" i="1"/>
  <c r="K124" i="1"/>
  <c r="C59" i="1"/>
  <c r="K59" i="1"/>
  <c r="C70" i="1"/>
  <c r="K70" i="1"/>
  <c r="C128" i="1"/>
  <c r="K128" i="1"/>
  <c r="C122" i="1"/>
  <c r="K122" i="1"/>
  <c r="C119" i="1"/>
  <c r="K119" i="1"/>
  <c r="C148" i="1"/>
  <c r="K148" i="1"/>
  <c r="C111" i="1"/>
  <c r="K111" i="1"/>
  <c r="C131" i="1"/>
  <c r="K131" i="1"/>
  <c r="C108" i="1"/>
  <c r="K108" i="1"/>
  <c r="C109" i="1"/>
  <c r="K109" i="1"/>
  <c r="C132" i="1"/>
  <c r="K132" i="1"/>
  <c r="C645" i="1"/>
  <c r="K645" i="1"/>
  <c r="C587" i="1"/>
  <c r="K587" i="1"/>
  <c r="C68" i="1"/>
  <c r="K68" i="1"/>
  <c r="C79" i="1"/>
  <c r="K79" i="1"/>
  <c r="C54" i="1"/>
  <c r="K54" i="1"/>
  <c r="C61" i="1"/>
  <c r="K61" i="1"/>
  <c r="C76" i="1"/>
  <c r="K76" i="1"/>
  <c r="C99" i="1"/>
  <c r="K99" i="1"/>
  <c r="C55" i="1"/>
  <c r="K55" i="1"/>
  <c r="C143" i="1"/>
  <c r="K143" i="1"/>
  <c r="C92" i="1"/>
  <c r="K92" i="1"/>
  <c r="C88" i="1"/>
  <c r="K88" i="1"/>
  <c r="C73" i="1"/>
  <c r="K73" i="1"/>
  <c r="C90" i="1"/>
  <c r="K90" i="1"/>
  <c r="C101" i="1"/>
  <c r="K101" i="1"/>
  <c r="C150" i="1"/>
  <c r="K150" i="1"/>
  <c r="C48" i="1"/>
  <c r="K48" i="1"/>
  <c r="C65" i="1"/>
  <c r="K65" i="1"/>
  <c r="C151" i="1"/>
  <c r="K151" i="1"/>
  <c r="C120" i="1"/>
  <c r="K120" i="1"/>
  <c r="C66" i="1"/>
  <c r="K66" i="1"/>
  <c r="C91" i="1"/>
  <c r="K91" i="1"/>
  <c r="C86" i="1"/>
  <c r="K86" i="1"/>
  <c r="C89" i="1"/>
  <c r="K89" i="1"/>
  <c r="C478" i="1"/>
  <c r="K478" i="1"/>
  <c r="C496" i="1"/>
  <c r="K496" i="1"/>
  <c r="C646" i="1"/>
  <c r="K646" i="1"/>
  <c r="C576" i="1"/>
  <c r="K576" i="1"/>
  <c r="C381" i="1"/>
  <c r="K381" i="1"/>
  <c r="C629" i="1"/>
  <c r="K629" i="1"/>
  <c r="C685" i="1"/>
  <c r="K685" i="1"/>
  <c r="C858" i="1"/>
  <c r="K858" i="1"/>
  <c r="C859" i="1"/>
  <c r="K859" i="1"/>
  <c r="C440" i="1"/>
  <c r="K440" i="1"/>
  <c r="C726" i="1"/>
  <c r="K726" i="1"/>
  <c r="C790" i="1"/>
  <c r="K790" i="1"/>
  <c r="C686" i="1"/>
  <c r="K686" i="1"/>
  <c r="C691" i="1"/>
  <c r="K691" i="1"/>
  <c r="C687" i="1"/>
  <c r="K687" i="1"/>
  <c r="C550" i="1"/>
  <c r="K550" i="1"/>
  <c r="C603" i="1"/>
  <c r="K603" i="1"/>
  <c r="C945" i="1"/>
  <c r="K945" i="1"/>
  <c r="C946" i="1"/>
  <c r="K946" i="1"/>
  <c r="C956" i="1"/>
  <c r="K956" i="1"/>
  <c r="C966" i="1"/>
  <c r="K966" i="1"/>
  <c r="C971" i="1"/>
  <c r="K971" i="1"/>
  <c r="C972" i="1"/>
  <c r="K972" i="1"/>
  <c r="C947" i="1"/>
  <c r="K947" i="1"/>
  <c r="C979" i="1"/>
  <c r="K979" i="1"/>
  <c r="C929" i="1"/>
  <c r="K929" i="1"/>
  <c r="C930" i="1"/>
  <c r="K930" i="1"/>
  <c r="C931" i="1"/>
  <c r="K931" i="1"/>
  <c r="C926" i="1"/>
  <c r="K926" i="1"/>
  <c r="C927" i="1"/>
  <c r="K927" i="1"/>
  <c r="C259" i="1"/>
  <c r="K259" i="1"/>
  <c r="C300" i="1"/>
  <c r="K300" i="1"/>
  <c r="C860" i="1"/>
  <c r="K860" i="1"/>
  <c r="C861" i="1"/>
  <c r="K861" i="1"/>
  <c r="C430" i="1"/>
  <c r="K430" i="1"/>
  <c r="C973" i="1"/>
  <c r="K973" i="1"/>
  <c r="C604" i="1"/>
  <c r="K604" i="1"/>
  <c r="C873" i="1"/>
  <c r="K873" i="1"/>
  <c r="C862" i="1"/>
  <c r="K862" i="1"/>
  <c r="C512" i="1"/>
  <c r="K512" i="1"/>
  <c r="C630" i="1"/>
  <c r="K630" i="1"/>
  <c r="C406" i="1"/>
  <c r="K406" i="1"/>
  <c r="C407" i="1"/>
  <c r="K407" i="1"/>
  <c r="C688" i="1"/>
  <c r="K688" i="1"/>
  <c r="C503" i="1"/>
  <c r="K503" i="1"/>
  <c r="C753" i="1"/>
  <c r="K753" i="1"/>
  <c r="C567" i="1"/>
  <c r="K567" i="1"/>
  <c r="C568" i="1"/>
  <c r="K568" i="1"/>
  <c r="C948" i="1"/>
  <c r="K948" i="1"/>
  <c r="C569" i="1"/>
  <c r="K569" i="1"/>
  <c r="C613" i="1"/>
  <c r="K613" i="1"/>
  <c r="C701" i="1"/>
  <c r="K701" i="1"/>
  <c r="C791" i="1"/>
  <c r="K791" i="1"/>
  <c r="C727" i="1"/>
  <c r="K727" i="1"/>
  <c r="C697" i="1"/>
  <c r="K697" i="1"/>
  <c r="C754" i="1"/>
  <c r="K754" i="1"/>
  <c r="C698" i="1"/>
  <c r="K698" i="1"/>
  <c r="C620" i="1"/>
  <c r="K620" i="1"/>
  <c r="C471" i="1"/>
  <c r="K471" i="1"/>
  <c r="C472" i="1"/>
  <c r="K472" i="1"/>
  <c r="C551" i="1"/>
  <c r="K551" i="1"/>
  <c r="C497" i="1"/>
  <c r="K497" i="1"/>
  <c r="C211" i="1"/>
  <c r="K211" i="1"/>
  <c r="C479" i="1"/>
  <c r="K479" i="1"/>
  <c r="C728" i="1"/>
  <c r="K728" i="1"/>
  <c r="C899" i="1"/>
  <c r="K899" i="1"/>
  <c r="C766" i="1"/>
  <c r="K766" i="1"/>
  <c r="C301" i="1"/>
  <c r="K301" i="1"/>
  <c r="C374" i="1"/>
  <c r="K374" i="1"/>
  <c r="C420" i="1"/>
  <c r="K420" i="1"/>
  <c r="C792" i="1"/>
  <c r="K792" i="1"/>
  <c r="C299" i="1"/>
  <c r="K299" i="1"/>
  <c r="C461" i="1"/>
  <c r="K461" i="1"/>
  <c r="C980" i="1"/>
  <c r="K980" i="1"/>
  <c r="C388" i="1"/>
  <c r="K388" i="1"/>
  <c r="C470" i="1"/>
  <c r="K470" i="1"/>
  <c r="C588" i="1"/>
  <c r="K588" i="1"/>
  <c r="C818" i="1"/>
  <c r="K818" i="1"/>
  <c r="C664" i="1"/>
  <c r="K664" i="1"/>
  <c r="C523" i="1"/>
  <c r="K523" i="1"/>
  <c r="C302" i="1"/>
  <c r="K302" i="1"/>
  <c r="C307" i="1"/>
  <c r="K307" i="1"/>
  <c r="C317" i="1"/>
  <c r="K317" i="1"/>
  <c r="C431" i="1"/>
  <c r="K431" i="1"/>
  <c r="C432" i="1"/>
  <c r="K432" i="1"/>
  <c r="C415" i="1"/>
  <c r="K415" i="1"/>
  <c r="C452" i="1"/>
  <c r="K452" i="1"/>
  <c r="C451" i="1"/>
  <c r="K451" i="1"/>
  <c r="C416" i="1"/>
  <c r="K416" i="1"/>
  <c r="C304" i="1"/>
  <c r="K304" i="1"/>
  <c r="C405" i="1"/>
  <c r="K405" i="1"/>
  <c r="C305" i="1"/>
  <c r="K305" i="1"/>
  <c r="C453" i="1"/>
  <c r="K453" i="1"/>
  <c r="C303" i="1"/>
  <c r="K303" i="1"/>
  <c r="C447" i="1"/>
  <c r="K447" i="1"/>
  <c r="C390" i="1"/>
  <c r="K390" i="1"/>
  <c r="C346" i="1"/>
  <c r="K346" i="1"/>
  <c r="C379" i="1"/>
  <c r="K379" i="1"/>
  <c r="C375" i="1"/>
  <c r="K375" i="1"/>
  <c r="C368" i="1"/>
  <c r="K368" i="1"/>
  <c r="C319" i="1"/>
  <c r="K319" i="1"/>
  <c r="C350" i="1"/>
  <c r="K350" i="1"/>
  <c r="C347" i="1"/>
  <c r="K347" i="1"/>
  <c r="C247" i="1"/>
  <c r="K247" i="1"/>
  <c r="C793" i="1"/>
  <c r="K793" i="1"/>
  <c r="C713" i="1"/>
  <c r="K713" i="1"/>
  <c r="C900" i="1"/>
  <c r="K900" i="1"/>
  <c r="C901" i="1"/>
  <c r="K901" i="1"/>
  <c r="C777" i="1"/>
  <c r="K777" i="1"/>
  <c r="C891" i="1"/>
  <c r="K891" i="1"/>
  <c r="C638" i="1"/>
  <c r="K638" i="1"/>
  <c r="C240" i="1"/>
  <c r="K240" i="1"/>
  <c r="C244" i="1"/>
  <c r="K244" i="1"/>
  <c r="C217" i="1"/>
  <c r="K217" i="1"/>
  <c r="C242" i="1"/>
  <c r="K242" i="1"/>
  <c r="C237" i="1"/>
  <c r="K237" i="1"/>
  <c r="C265" i="1"/>
  <c r="K265" i="1"/>
  <c r="C218" i="1"/>
  <c r="K218" i="1"/>
  <c r="C228" i="1"/>
  <c r="K228" i="1"/>
  <c r="C225" i="1"/>
  <c r="K225" i="1"/>
  <c r="C231" i="1"/>
  <c r="K231" i="1"/>
  <c r="C266" i="1"/>
  <c r="K266" i="1"/>
  <c r="C209" i="1"/>
  <c r="K209" i="1"/>
  <c r="C221" i="1"/>
  <c r="K221" i="1"/>
  <c r="C243" i="1"/>
  <c r="K243" i="1"/>
  <c r="C229" i="1"/>
  <c r="K229" i="1"/>
  <c r="C391" i="1"/>
  <c r="K391" i="1"/>
  <c r="C392" i="1"/>
  <c r="K392" i="1"/>
  <c r="C767" i="1"/>
  <c r="K767" i="1"/>
  <c r="C421" i="1"/>
  <c r="K421" i="1"/>
  <c r="C11" i="1"/>
  <c r="K11" i="1"/>
  <c r="C12" i="1"/>
  <c r="K12" i="1"/>
  <c r="C13" i="1"/>
  <c r="K13" i="1"/>
  <c r="C14" i="1"/>
  <c r="K14" i="1"/>
  <c r="C38" i="1"/>
  <c r="K38" i="1"/>
  <c r="C794" i="1"/>
  <c r="K794" i="1"/>
  <c r="C459" i="1"/>
  <c r="K459" i="1"/>
  <c r="C918" i="1"/>
  <c r="K918" i="1"/>
  <c r="C819" i="1"/>
  <c r="K819" i="1"/>
  <c r="C570" i="1"/>
  <c r="K570" i="1"/>
  <c r="C647" i="1"/>
  <c r="K647" i="1"/>
  <c r="C940" i="1"/>
  <c r="K940" i="1"/>
  <c r="C928" i="1"/>
  <c r="K928" i="1"/>
  <c r="C589" i="1"/>
  <c r="K589" i="1"/>
  <c r="C876" i="1"/>
  <c r="K876" i="1"/>
  <c r="C547" i="1"/>
  <c r="K547" i="1"/>
  <c r="C729" i="1"/>
  <c r="K729" i="1"/>
  <c r="C605" i="1"/>
  <c r="K605" i="1"/>
  <c r="C911" i="1"/>
  <c r="K911" i="1"/>
  <c r="C190" i="1"/>
  <c r="K190" i="1"/>
  <c r="C6" i="1"/>
  <c r="K6" i="1"/>
  <c r="C62" i="1"/>
  <c r="K62" i="1"/>
  <c r="C18" i="1"/>
  <c r="K18" i="1"/>
  <c r="C590" i="1"/>
  <c r="K590" i="1"/>
  <c r="C639" i="1"/>
  <c r="K639" i="1"/>
  <c r="C648" i="1"/>
  <c r="K648" i="1"/>
  <c r="C8" i="1"/>
  <c r="K8" i="1"/>
  <c r="C10" i="1"/>
  <c r="K10" i="1"/>
  <c r="C87" i="1"/>
  <c r="K87" i="1"/>
  <c r="C112" i="1"/>
  <c r="K112" i="1"/>
  <c r="C117" i="1"/>
  <c r="K117" i="1"/>
  <c r="C121" i="1"/>
  <c r="K121" i="1"/>
  <c r="C7" i="1"/>
  <c r="K7" i="1"/>
  <c r="C9" i="1"/>
  <c r="K9" i="1"/>
  <c r="C67" i="1"/>
  <c r="K67" i="1"/>
  <c r="C126" i="1"/>
  <c r="K126" i="1"/>
  <c r="C53" i="1"/>
  <c r="K53" i="1"/>
  <c r="C254" i="1"/>
  <c r="K254" i="1"/>
  <c r="C255" i="1"/>
  <c r="K255" i="1"/>
  <c r="C256" i="1"/>
  <c r="K256" i="1"/>
  <c r="C865" i="1"/>
  <c r="K865" i="1"/>
  <c r="C932" i="1"/>
  <c r="K932" i="1"/>
  <c r="C874" i="1"/>
  <c r="K874" i="1"/>
  <c r="C702" i="1"/>
  <c r="K702" i="1"/>
  <c r="C833" i="1"/>
  <c r="K833" i="1"/>
  <c r="C730" i="1"/>
  <c r="K730" i="1"/>
  <c r="C580" i="1"/>
  <c r="K580" i="1"/>
  <c r="C902" i="1"/>
  <c r="K902" i="1"/>
  <c r="C903" i="1"/>
  <c r="K903" i="1"/>
  <c r="C866" i="1"/>
  <c r="K866" i="1"/>
  <c r="C867" i="1"/>
  <c r="K867" i="1"/>
  <c r="C581" i="1"/>
  <c r="K581" i="1"/>
  <c r="C665" i="1"/>
  <c r="K665" i="1"/>
  <c r="C666" i="1"/>
  <c r="K666" i="1"/>
  <c r="C892" i="1"/>
  <c r="K892" i="1"/>
  <c r="C742" i="1"/>
  <c r="K742" i="1"/>
  <c r="C768" i="1"/>
  <c r="K768" i="1"/>
  <c r="C769" i="1"/>
  <c r="K769" i="1"/>
  <c r="C212" i="1"/>
  <c r="K212" i="1"/>
  <c r="C743" i="1"/>
  <c r="K743" i="1"/>
  <c r="C731" i="1"/>
  <c r="K731" i="1"/>
  <c r="C649" i="1"/>
  <c r="K649" i="1"/>
  <c r="C650" i="1"/>
  <c r="K650" i="1"/>
  <c r="C513" i="1"/>
  <c r="K513" i="1"/>
  <c r="C552" i="1"/>
  <c r="K552" i="1"/>
  <c r="C560" i="1"/>
  <c r="K560" i="1"/>
  <c r="C427" i="1"/>
  <c r="K427" i="1"/>
  <c r="C826" i="1"/>
  <c r="K826" i="1"/>
  <c r="C353" i="1"/>
  <c r="K353" i="1"/>
  <c r="C417" i="1"/>
  <c r="K417" i="1"/>
  <c r="C418" i="1"/>
  <c r="K418" i="1"/>
  <c r="C957" i="1"/>
  <c r="K957" i="1"/>
  <c r="C354" i="1"/>
  <c r="K354" i="1"/>
  <c r="C964" i="1"/>
  <c r="K964" i="1"/>
  <c r="C703" i="1"/>
  <c r="K703" i="1"/>
  <c r="C264" i="1"/>
  <c r="K264" i="1"/>
  <c r="C257" i="1"/>
  <c r="K257" i="1"/>
  <c r="C258" i="1"/>
  <c r="K258" i="1"/>
  <c r="C441" i="1"/>
  <c r="K441" i="1"/>
  <c r="C357" i="1"/>
  <c r="K357" i="1"/>
  <c r="C333" i="1"/>
  <c r="K333" i="1"/>
  <c r="C306" i="1"/>
  <c r="K306" i="1"/>
  <c r="C281" i="1"/>
  <c r="K281" i="1"/>
  <c r="C282" i="1"/>
  <c r="K282" i="1"/>
  <c r="C277" i="1"/>
  <c r="K277" i="1"/>
  <c r="C278" i="1"/>
  <c r="K278" i="1"/>
  <c r="C270" i="1"/>
  <c r="K270" i="1"/>
  <c r="C248" i="1"/>
  <c r="K248" i="1"/>
  <c r="C398" i="1"/>
  <c r="K398" i="1"/>
  <c r="C399" i="1"/>
  <c r="K399" i="1"/>
  <c r="C245" i="1"/>
  <c r="K245" i="1"/>
  <c r="C233" i="1"/>
  <c r="K233" i="1"/>
  <c r="C358" i="1"/>
  <c r="K358" i="1"/>
  <c r="C341" i="1"/>
  <c r="K341" i="1"/>
  <c r="C271" i="1"/>
  <c r="K271" i="1"/>
  <c r="C338" i="1"/>
  <c r="K338" i="1"/>
  <c r="C241" i="1"/>
  <c r="K241" i="1"/>
  <c r="C318" i="1"/>
  <c r="K318" i="1"/>
  <c r="C312" i="1"/>
  <c r="K312" i="1"/>
  <c r="C433" i="1"/>
  <c r="K433" i="1"/>
  <c r="C246" i="1"/>
  <c r="K246" i="1"/>
  <c r="C219" i="1"/>
  <c r="K219" i="1"/>
  <c r="C268" i="1"/>
  <c r="K268" i="1"/>
  <c r="C263" i="1"/>
  <c r="K263" i="1"/>
  <c r="C267" i="1"/>
  <c r="K267" i="1"/>
  <c r="C220" i="1"/>
  <c r="K220" i="1"/>
  <c r="C276" i="1"/>
  <c r="K276" i="1"/>
  <c r="C279" i="1"/>
  <c r="K279" i="1"/>
  <c r="C262" i="1"/>
  <c r="K262" i="1"/>
  <c r="C287" i="1"/>
  <c r="K287" i="1"/>
  <c r="C288" i="1"/>
  <c r="K288" i="1"/>
  <c r="C283" i="1"/>
  <c r="K283" i="1"/>
  <c r="C289" i="1"/>
  <c r="K289" i="1"/>
  <c r="C290" i="1"/>
  <c r="K290" i="1"/>
  <c r="C291" i="1"/>
  <c r="K291" i="1"/>
  <c r="C297" i="1"/>
  <c r="K297" i="1"/>
  <c r="C442" i="1"/>
  <c r="K442" i="1"/>
  <c r="C364" i="1"/>
  <c r="K364" i="1"/>
  <c r="C402" i="1"/>
  <c r="K402" i="1"/>
  <c r="C343" i="1"/>
  <c r="K343" i="1"/>
  <c r="C272" i="1"/>
  <c r="K272" i="1"/>
  <c r="C293" i="1"/>
  <c r="K293" i="1"/>
  <c r="C296" i="1"/>
  <c r="K296" i="1"/>
  <c r="C553" i="1"/>
  <c r="K553" i="1"/>
  <c r="C561" i="1"/>
  <c r="K561" i="1"/>
  <c r="C755" i="1"/>
  <c r="K755" i="1"/>
  <c r="C524" i="1"/>
  <c r="K524" i="1"/>
  <c r="C597" i="1"/>
  <c r="K597" i="1"/>
  <c r="C893" i="1"/>
  <c r="K893" i="1"/>
  <c r="C489" i="1"/>
  <c r="K489" i="1"/>
  <c r="C621" i="1"/>
  <c r="K621" i="1"/>
  <c r="C770" i="1"/>
  <c r="K770" i="1"/>
  <c r="C622" i="1"/>
  <c r="K622" i="1"/>
  <c r="C314" i="1"/>
  <c r="K314" i="1"/>
  <c r="C732" i="1"/>
  <c r="K732" i="1"/>
  <c r="C355" i="1"/>
  <c r="K355" i="1"/>
  <c r="C422" i="1"/>
  <c r="K422" i="1"/>
  <c r="C480" i="1"/>
  <c r="K480" i="1"/>
  <c r="C606" i="1"/>
  <c r="K606" i="1"/>
  <c r="C692" i="1"/>
  <c r="K692" i="1"/>
  <c r="C481" i="1"/>
  <c r="K481" i="1"/>
  <c r="C382" i="1"/>
  <c r="K382" i="1"/>
  <c r="C795" i="1"/>
  <c r="K795" i="1"/>
  <c r="C623" i="1"/>
  <c r="K623" i="1"/>
  <c r="C714" i="1"/>
  <c r="K714" i="1"/>
  <c r="C778" i="1"/>
  <c r="K778" i="1"/>
  <c r="C514" i="1"/>
  <c r="K514" i="1"/>
  <c r="C438" i="1"/>
  <c r="K438" i="1"/>
  <c r="C571" i="1"/>
  <c r="K571" i="1"/>
  <c r="C843" i="1"/>
  <c r="K843" i="1"/>
  <c r="C844" i="1"/>
  <c r="K844" i="1"/>
  <c r="C631" i="1"/>
  <c r="K631" i="1"/>
  <c r="C50" i="1"/>
  <c r="K50" i="1"/>
  <c r="C80" i="1"/>
  <c r="K80" i="1"/>
  <c r="C47" i="1"/>
  <c r="K47" i="1"/>
  <c r="C57" i="1"/>
  <c r="K57" i="1"/>
  <c r="C58" i="1"/>
  <c r="K58" i="1"/>
  <c r="C490" i="1"/>
  <c r="K490" i="1"/>
  <c r="C361" i="1"/>
  <c r="K361" i="1"/>
  <c r="C473" i="1"/>
  <c r="K473" i="1"/>
  <c r="C554" i="1"/>
  <c r="K554" i="1"/>
  <c r="C462" i="1"/>
  <c r="K462" i="1"/>
  <c r="C482" i="1"/>
  <c r="K482" i="1"/>
  <c r="C693" i="1"/>
  <c r="K693" i="1"/>
  <c r="C591" i="1"/>
  <c r="K591" i="1"/>
  <c r="C483" i="1"/>
  <c r="K483" i="1"/>
  <c r="C721" i="1"/>
  <c r="K721" i="1"/>
  <c r="C894" i="1"/>
  <c r="K894" i="1"/>
  <c r="C498" i="1"/>
  <c r="K498" i="1"/>
  <c r="C863" i="1"/>
  <c r="K863" i="1"/>
  <c r="C323" i="1"/>
  <c r="K323" i="1"/>
  <c r="C555" i="1"/>
  <c r="K555" i="1"/>
  <c r="C156" i="1"/>
  <c r="K156" i="1"/>
  <c r="C454" i="1"/>
  <c r="K454" i="1"/>
  <c r="C226" i="1"/>
  <c r="K226" i="1"/>
  <c r="C607" i="1"/>
  <c r="K607" i="1"/>
  <c r="C651" i="1"/>
  <c r="K651" i="1"/>
  <c r="C222" i="1"/>
  <c r="K222" i="1"/>
  <c r="C369" i="1"/>
  <c r="K369" i="1"/>
  <c r="C400" i="1"/>
  <c r="K400" i="1"/>
  <c r="C396" i="1"/>
  <c r="K396" i="1"/>
  <c r="C556" i="1"/>
  <c r="K556" i="1"/>
  <c r="C408" i="1"/>
  <c r="K408" i="1"/>
  <c r="C425" i="1"/>
  <c r="K425" i="1"/>
  <c r="C463" i="1"/>
  <c r="K463" i="1"/>
  <c r="C344" i="1"/>
  <c r="K344" i="1"/>
  <c r="C484" i="1"/>
  <c r="K484" i="1"/>
  <c r="C393" i="1"/>
  <c r="K393" i="1"/>
  <c r="C428" i="1"/>
  <c r="K428" i="1"/>
  <c r="C912" i="1"/>
  <c r="K912" i="1"/>
  <c r="C744" i="1"/>
  <c r="K744" i="1"/>
  <c r="C796" i="1"/>
  <c r="K796" i="1"/>
  <c r="C674" i="1"/>
  <c r="K674" i="1"/>
  <c r="C958" i="1"/>
  <c r="K958" i="1"/>
  <c r="C592" i="1"/>
  <c r="K592" i="1"/>
  <c r="C963" i="1"/>
  <c r="K963" i="1"/>
  <c r="C950" i="1"/>
  <c r="K950" i="1"/>
  <c r="C913" i="1"/>
  <c r="K913" i="1"/>
  <c r="C56" i="1"/>
  <c r="K56" i="1"/>
  <c r="C864" i="1"/>
  <c r="K864" i="1"/>
  <c r="C179" i="1"/>
  <c r="K179" i="1"/>
  <c r="C202" i="1"/>
  <c r="K202" i="1"/>
  <c r="C195" i="1"/>
  <c r="K195" i="1"/>
  <c r="C174" i="1"/>
  <c r="K174" i="1"/>
  <c r="C182" i="1"/>
  <c r="K182" i="1"/>
  <c r="C652" i="1"/>
  <c r="K652" i="1"/>
  <c r="C525" i="1"/>
  <c r="K525" i="1"/>
  <c r="C394" i="1"/>
  <c r="K394" i="1"/>
  <c r="C653" i="1"/>
  <c r="K653" i="1"/>
  <c r="C348" i="1"/>
  <c r="K348" i="1"/>
  <c r="C526" i="1"/>
  <c r="K526" i="1"/>
  <c r="C733" i="1"/>
  <c r="K733" i="1"/>
  <c r="C914" i="1"/>
  <c r="K914" i="1"/>
  <c r="C527" i="1"/>
  <c r="K527" i="1"/>
  <c r="C875" i="1"/>
  <c r="K875" i="1"/>
  <c r="C528" i="1"/>
  <c r="K528" i="1"/>
  <c r="C529" i="1"/>
  <c r="K529" i="1"/>
  <c r="C675" i="1"/>
  <c r="K675" i="1"/>
  <c r="C530" i="1"/>
  <c r="K530" i="1"/>
  <c r="C877" i="1"/>
  <c r="K877" i="1"/>
  <c r="C184" i="1"/>
  <c r="K184" i="1"/>
  <c r="C933" i="1"/>
  <c r="K933" i="1"/>
  <c r="C154" i="1"/>
  <c r="K154" i="1"/>
  <c r="C185" i="1"/>
  <c r="K185" i="1"/>
  <c r="C531" i="1"/>
  <c r="K531" i="1"/>
  <c r="C922" i="1"/>
  <c r="K922" i="1"/>
  <c r="C158" i="1"/>
  <c r="K158" i="1"/>
  <c r="C186" i="1"/>
  <c r="K186" i="1"/>
  <c r="C146" i="1"/>
  <c r="K146" i="1"/>
  <c r="C193" i="1"/>
  <c r="K193" i="1"/>
  <c r="C187" i="1"/>
  <c r="K187" i="1"/>
  <c r="C147" i="1"/>
  <c r="K147" i="1"/>
  <c r="C934" i="1"/>
  <c r="K934" i="1"/>
  <c r="C532" i="1"/>
  <c r="K532" i="1"/>
  <c r="C533" i="1"/>
  <c r="K533" i="1"/>
  <c r="C534" i="1"/>
  <c r="K534" i="1"/>
  <c r="C734" i="1"/>
  <c r="K734" i="1"/>
  <c r="C985" i="1"/>
  <c r="K985" i="1"/>
  <c r="C183" i="1"/>
  <c r="K183" i="1"/>
  <c r="C965" i="1"/>
  <c r="K965" i="1"/>
  <c r="C951" i="1"/>
  <c r="K951" i="1"/>
  <c r="C797" i="1"/>
  <c r="K797" i="1"/>
  <c r="C798" i="1"/>
  <c r="K798" i="1"/>
  <c r="C799" i="1"/>
  <c r="K799" i="1"/>
  <c r="C800" i="1"/>
  <c r="K800" i="1"/>
  <c r="C801" i="1"/>
  <c r="K801" i="1"/>
  <c r="C802" i="1"/>
  <c r="K802" i="1"/>
  <c r="C803" i="1"/>
  <c r="K803" i="1"/>
  <c r="C804" i="1"/>
  <c r="K804" i="1"/>
  <c r="C805" i="1"/>
  <c r="K805" i="1"/>
  <c r="C806" i="1"/>
  <c r="K806" i="1"/>
  <c r="C807" i="1"/>
  <c r="K807" i="1"/>
  <c r="C808" i="1"/>
  <c r="K808" i="1"/>
  <c r="C809" i="1"/>
  <c r="K809" i="1"/>
  <c r="C535" i="1"/>
  <c r="K535" i="1"/>
  <c r="C810" i="1"/>
  <c r="K810" i="1"/>
  <c r="C811" i="1"/>
  <c r="K811" i="1"/>
  <c r="C188" i="1"/>
  <c r="K188" i="1"/>
  <c r="C194" i="1"/>
  <c r="K194" i="1"/>
  <c r="C536" i="1"/>
  <c r="K536" i="1"/>
  <c r="C919" i="1"/>
  <c r="K919" i="1"/>
  <c r="C537" i="1"/>
  <c r="K537" i="1"/>
  <c r="C538" i="1"/>
  <c r="K538" i="1"/>
  <c r="C539" i="1"/>
  <c r="K539" i="1"/>
  <c r="C540" i="1"/>
  <c r="K540" i="1"/>
  <c r="C541" i="1"/>
  <c r="K541" i="1"/>
  <c r="C542" i="1"/>
  <c r="K542" i="1"/>
  <c r="C543" i="1"/>
  <c r="K543" i="1"/>
  <c r="C562" i="1"/>
  <c r="K562" i="1"/>
  <c r="C952" i="1"/>
  <c r="K952" i="1"/>
  <c r="C464" i="1"/>
  <c r="K464" i="1"/>
  <c r="C632" i="1"/>
  <c r="K632" i="1"/>
  <c r="C633" i="1"/>
  <c r="K633" i="1"/>
  <c r="C337" i="1"/>
  <c r="K337" i="1"/>
  <c r="C544" i="1"/>
  <c r="K544" i="1"/>
  <c r="C485" i="1"/>
  <c r="K485" i="1"/>
  <c r="C486" i="1"/>
  <c r="K486" i="1"/>
  <c r="C895" i="1"/>
  <c r="K895" i="1"/>
  <c r="C423" i="1"/>
  <c r="K423" i="1"/>
  <c r="C593" i="1"/>
  <c r="K593" i="1"/>
  <c r="C614" i="1"/>
  <c r="K614" i="1"/>
  <c r="C904" i="1"/>
  <c r="K904" i="1"/>
  <c r="C779" i="1"/>
  <c r="K779" i="1"/>
  <c r="C715" i="1"/>
  <c r="K715" i="1"/>
  <c r="C716" i="1"/>
  <c r="K716" i="1"/>
  <c r="C756" i="1"/>
  <c r="K756" i="1"/>
  <c r="C771" i="1"/>
  <c r="K771" i="1"/>
  <c r="C845" i="1"/>
  <c r="K845" i="1"/>
  <c r="C846" i="1"/>
  <c r="K846" i="1"/>
  <c r="C832" i="1"/>
  <c r="K832" i="1"/>
  <c r="C812" i="1"/>
  <c r="K812" i="1"/>
  <c r="C827" i="1"/>
  <c r="K827" i="1"/>
  <c r="C828" i="1"/>
  <c r="K828" i="1"/>
  <c r="C563" i="1"/>
  <c r="K563" i="1"/>
  <c r="C564" i="1"/>
  <c r="K564" i="1"/>
  <c r="C967" i="1"/>
  <c r="K967" i="1"/>
  <c r="C81" i="1"/>
  <c r="K81" i="1"/>
  <c r="C577" i="1"/>
  <c r="K577" i="1"/>
  <c r="C667" i="1"/>
  <c r="K667" i="1"/>
  <c r="C308" i="1"/>
  <c r="K308" i="1"/>
  <c r="C298" i="1"/>
  <c r="K298" i="1"/>
  <c r="C309" i="1"/>
  <c r="K309" i="1"/>
  <c r="C284" i="1"/>
  <c r="K284" i="1"/>
  <c r="C310" i="1"/>
  <c r="K310" i="1"/>
  <c r="C311" i="1"/>
  <c r="K311" i="1"/>
  <c r="C477" i="1"/>
  <c r="K477" i="1"/>
  <c r="C905" i="1"/>
  <c r="K905" i="1"/>
  <c r="C572" i="1"/>
  <c r="K572" i="1"/>
  <c r="C906" i="1"/>
  <c r="K906" i="1"/>
  <c r="C829" i="1"/>
  <c r="K829" i="1"/>
  <c r="C615" i="1"/>
  <c r="K615" i="1"/>
  <c r="C545" i="1"/>
  <c r="K545" i="1"/>
  <c r="C820" i="1"/>
  <c r="K820" i="1"/>
  <c r="C64" i="1"/>
  <c r="K64" i="1"/>
  <c r="C60" i="1"/>
  <c r="K60" i="1"/>
  <c r="C285" i="1"/>
  <c r="K285" i="1"/>
  <c r="C168" i="1"/>
  <c r="K168" i="1"/>
  <c r="C172" i="1"/>
  <c r="K172" i="1"/>
  <c r="C508" i="1"/>
  <c r="K508" i="1"/>
  <c r="C640" i="1"/>
  <c r="K640" i="1"/>
  <c r="C204" i="1"/>
  <c r="K204" i="1"/>
  <c r="C15" i="1"/>
  <c r="K15" i="1"/>
  <c r="C16" i="1"/>
  <c r="K16" i="1"/>
  <c r="C21" i="1"/>
  <c r="K21" i="1"/>
  <c r="C22" i="1"/>
  <c r="K22" i="1"/>
  <c r="C32" i="1"/>
  <c r="K32" i="1"/>
  <c r="C850" i="1"/>
  <c r="K850" i="1"/>
  <c r="C616" i="1"/>
  <c r="K616" i="1"/>
  <c r="C617" i="1"/>
  <c r="K617" i="1"/>
  <c r="C409" i="1"/>
  <c r="K409" i="1"/>
  <c r="C295" i="1"/>
  <c r="K295" i="1"/>
  <c r="C294" i="1"/>
  <c r="K294" i="1"/>
  <c r="C694" i="1"/>
  <c r="K694" i="1"/>
  <c r="C676" i="1"/>
  <c r="K676" i="1"/>
  <c r="C920" i="1"/>
  <c r="K920" i="1"/>
  <c r="C695" i="1"/>
  <c r="K695" i="1"/>
  <c r="C960" i="1"/>
  <c r="K960" i="1"/>
  <c r="C699" i="1"/>
  <c r="K699" i="1"/>
  <c r="C923" i="1"/>
  <c r="K923" i="1"/>
  <c r="C4" i="1"/>
  <c r="K4" i="1"/>
  <c r="C634" i="1"/>
  <c r="K634" i="1"/>
  <c r="C443" i="1"/>
  <c r="K443" i="1"/>
  <c r="C444" i="1"/>
  <c r="K444" i="1"/>
  <c r="C351" i="1"/>
  <c r="K351" i="1"/>
  <c r="C445" i="1"/>
  <c r="K445" i="1"/>
  <c r="C223" i="1"/>
  <c r="K223" i="1"/>
  <c r="C224" i="1"/>
  <c r="K224" i="1"/>
  <c r="C215" i="1"/>
  <c r="K215" i="1"/>
  <c r="C216" i="1"/>
  <c r="K216" i="1"/>
  <c r="C915" i="1"/>
  <c r="K915" i="1"/>
  <c r="C313" i="1"/>
  <c r="K313" i="1"/>
  <c r="C322" i="1"/>
  <c r="K322" i="1"/>
  <c r="C320" i="1"/>
  <c r="K320" i="1"/>
  <c r="C334" i="1"/>
  <c r="K334" i="1"/>
  <c r="C331" i="1"/>
  <c r="K331" i="1"/>
  <c r="C213" i="1"/>
  <c r="K213" i="1"/>
  <c r="C189" i="1"/>
  <c r="K189" i="1"/>
  <c r="C214" i="1"/>
  <c r="K214" i="1"/>
  <c r="C191" i="1"/>
  <c r="K191" i="1"/>
  <c r="C192" i="1"/>
  <c r="K192" i="1"/>
  <c r="C207" i="1"/>
  <c r="K207" i="1"/>
  <c r="C986" i="1"/>
  <c r="K986" i="1"/>
  <c r="C51" i="1"/>
  <c r="K51" i="1"/>
  <c r="C608" i="1"/>
  <c r="K608" i="1"/>
  <c r="C981" i="1"/>
  <c r="K981" i="1"/>
  <c r="C941" i="1"/>
  <c r="K941" i="1"/>
  <c r="C959" i="1"/>
  <c r="K959" i="1"/>
  <c r="C410" i="1"/>
  <c r="K410" i="1"/>
  <c r="C411" i="1"/>
  <c r="K411" i="1"/>
  <c r="C412" i="1"/>
  <c r="K412" i="1"/>
  <c r="C372" i="1"/>
  <c r="K372" i="1"/>
  <c r="C465" i="1"/>
  <c r="K465" i="1"/>
  <c r="C722" i="1"/>
  <c r="K722" i="1"/>
  <c r="C466" i="1"/>
  <c r="K466" i="1"/>
  <c r="C939" i="1"/>
  <c r="K939" i="1"/>
  <c r="C582" i="1"/>
  <c r="K582" i="1"/>
  <c r="C821" i="1"/>
  <c r="K821" i="1"/>
  <c r="C916" i="1"/>
  <c r="K916" i="1"/>
  <c r="C822" i="1"/>
  <c r="K822" i="1"/>
  <c r="C491" i="1"/>
  <c r="K491" i="1"/>
  <c r="C677" i="1"/>
  <c r="K677" i="1"/>
  <c r="C546" i="1"/>
  <c r="K546" i="1"/>
  <c r="C654" i="1"/>
  <c r="K654" i="1"/>
  <c r="C968" i="1"/>
  <c r="K968" i="1"/>
  <c r="C935" i="1"/>
  <c r="K935" i="1"/>
  <c r="C678" i="1"/>
  <c r="K678" i="1"/>
  <c r="C868" i="1"/>
  <c r="K868" i="1"/>
  <c r="C52" i="1"/>
  <c r="K52" i="1"/>
  <c r="C780" i="1"/>
  <c r="K780" i="1"/>
  <c r="C618" i="1"/>
  <c r="K618" i="1"/>
  <c r="C781" i="1"/>
  <c r="K781" i="1"/>
  <c r="C813" i="1"/>
  <c r="K813" i="1"/>
  <c r="C557" i="1"/>
  <c r="K557" i="1"/>
  <c r="C745" i="1"/>
  <c r="K745" i="1"/>
  <c r="C668" i="1"/>
  <c r="K668" i="1"/>
  <c r="C434" i="1"/>
  <c r="K434" i="1"/>
  <c r="C823" i="1"/>
  <c r="K823" i="1"/>
  <c r="C669" i="1"/>
  <c r="K669" i="1"/>
  <c r="C370" i="1"/>
  <c r="K370" i="1"/>
  <c r="C609" i="1"/>
  <c r="K609" i="1"/>
  <c r="C610" i="1"/>
  <c r="K610" i="1"/>
  <c r="C982" i="1"/>
  <c r="K982" i="1"/>
  <c r="C983" i="1"/>
  <c r="K983" i="1"/>
  <c r="C869" i="1"/>
  <c r="K869" i="1"/>
  <c r="C984" i="1"/>
  <c r="K984" i="1"/>
  <c r="C870" i="1"/>
  <c r="K870" i="1"/>
  <c r="C936" i="1"/>
  <c r="K936" i="1"/>
  <c r="C879" i="1"/>
  <c r="K879" i="1"/>
  <c r="C735" i="1"/>
  <c r="K735" i="1"/>
  <c r="C759" i="1"/>
  <c r="K759" i="1"/>
  <c r="C757" i="1"/>
  <c r="K757" i="1"/>
  <c r="C942" i="1"/>
  <c r="K942" i="1"/>
  <c r="C921" i="1"/>
  <c r="K921" i="1"/>
  <c r="C611" i="1"/>
  <c r="K611" i="1"/>
  <c r="C953" i="1"/>
  <c r="K953" i="1"/>
  <c r="C758" i="1"/>
  <c r="K758" i="1"/>
  <c r="C847" i="1"/>
  <c r="K847" i="1"/>
  <c r="C152" i="1"/>
  <c r="K152" i="1"/>
  <c r="C328" i="1"/>
  <c r="K328" i="1"/>
  <c r="C329" i="1"/>
  <c r="K329" i="1"/>
  <c r="C269" i="1"/>
  <c r="K269" i="1"/>
  <c r="C384" i="1"/>
  <c r="K384" i="1"/>
  <c r="C655" i="1"/>
  <c r="K655" i="1"/>
  <c r="C896" i="1"/>
  <c r="K896" i="1"/>
  <c r="C385" i="1"/>
  <c r="K385" i="1"/>
  <c r="C598" i="1"/>
  <c r="K598" i="1"/>
  <c r="C397" i="1"/>
  <c r="K397" i="1"/>
  <c r="C515" i="1"/>
  <c r="K515" i="1"/>
  <c r="C516" i="1"/>
  <c r="K516" i="1"/>
  <c r="C997" i="1"/>
  <c r="K997" i="1"/>
  <c r="C987" i="1"/>
  <c r="K987" i="1"/>
  <c r="C974" i="1"/>
  <c r="K974" i="1"/>
  <c r="C992" i="1"/>
  <c r="K992" i="1"/>
  <c r="C961" i="1"/>
  <c r="K961" i="1"/>
  <c r="C962" i="1"/>
  <c r="K962" i="1"/>
  <c r="C995" i="1"/>
  <c r="K995" i="1"/>
  <c r="C949" i="1"/>
  <c r="K949" i="1"/>
  <c r="C988" i="1"/>
  <c r="K988" i="1"/>
  <c r="C851" i="1"/>
  <c r="K851" i="1"/>
  <c r="C998" i="1"/>
  <c r="K998" i="1"/>
  <c r="C594" i="1"/>
  <c r="K594" i="1"/>
  <c r="C578" i="1"/>
  <c r="K578" i="1"/>
  <c r="C435" i="1"/>
  <c r="K435" i="1"/>
  <c r="C436" i="1"/>
  <c r="K436" i="1"/>
  <c r="C437" i="1"/>
  <c r="K437" i="1"/>
  <c r="C999" i="1"/>
  <c r="K999" i="1"/>
  <c r="C395" i="1"/>
  <c r="K395" i="1"/>
  <c r="C989" i="1"/>
  <c r="K989" i="1"/>
  <c r="C990" i="1"/>
  <c r="K990" i="1"/>
  <c r="C994" i="1"/>
  <c r="K994" i="1"/>
  <c r="C996" i="1"/>
  <c r="K996" i="1"/>
  <c r="C975" i="1"/>
  <c r="K975" i="1"/>
  <c r="C976" i="1"/>
  <c r="K976" i="1"/>
  <c r="C977" i="1"/>
  <c r="K977" i="1"/>
  <c r="C993" i="1"/>
  <c r="K993" i="1"/>
  <c r="C991" i="1"/>
  <c r="K991" i="1"/>
  <c r="C814" i="1"/>
  <c r="K814" i="1"/>
  <c r="C815" i="1"/>
  <c r="K815" i="1"/>
  <c r="C159" i="1"/>
  <c r="K159" i="1"/>
  <c r="C848" i="1"/>
  <c r="K848" i="1"/>
  <c r="C772" i="1"/>
  <c r="K772" i="1"/>
  <c r="C315" i="1"/>
  <c r="K315" i="1"/>
  <c r="C635" i="1"/>
  <c r="K635" i="1"/>
  <c r="C736" i="1"/>
  <c r="K736" i="1"/>
  <c r="C917" i="1"/>
  <c r="K917" i="1"/>
  <c r="C830" i="1"/>
  <c r="K830" i="1"/>
  <c r="C969" i="1"/>
  <c r="K969" i="1"/>
  <c r="C717" i="1"/>
  <c r="K717" i="1"/>
  <c r="C336" i="1"/>
  <c r="K336" i="1"/>
  <c r="C345" i="1"/>
  <c r="K345" i="1"/>
  <c r="C97" i="1"/>
  <c r="K97" i="1"/>
  <c r="C69" i="1"/>
  <c r="K69" i="1"/>
  <c r="C96" i="1"/>
  <c r="K96" i="1"/>
  <c r="C74" i="1"/>
  <c r="K74" i="1"/>
  <c r="C93" i="1"/>
  <c r="K93" i="1"/>
  <c r="C114" i="1"/>
  <c r="K114" i="1"/>
  <c r="C98" i="1"/>
  <c r="K98" i="1"/>
  <c r="C115" i="1"/>
  <c r="K115" i="1"/>
  <c r="C94" i="1"/>
  <c r="K94" i="1"/>
  <c r="C113" i="1"/>
  <c r="K113" i="1"/>
  <c r="C125" i="1"/>
  <c r="K125" i="1"/>
  <c r="C95" i="1"/>
  <c r="K95" i="1"/>
  <c r="C325" i="1"/>
  <c r="K325" i="1"/>
  <c r="C326" i="1"/>
  <c r="K326" i="1"/>
  <c r="C565" i="1"/>
  <c r="K565" i="1"/>
  <c r="C566" i="1"/>
  <c r="K566" i="1"/>
  <c r="C517" i="1"/>
  <c r="K517" i="1"/>
  <c r="C970" i="1"/>
  <c r="K970" i="1"/>
  <c r="C943" i="1"/>
  <c r="K943" i="1"/>
  <c r="C871" i="1"/>
  <c r="K871" i="1"/>
  <c r="C872" i="1"/>
  <c r="K872" i="1"/>
  <c r="C831" i="1"/>
  <c r="K831" i="1"/>
  <c r="C746" i="1"/>
  <c r="K746" i="1"/>
  <c r="C737" i="1"/>
  <c r="K737" i="1"/>
  <c r="C624" i="1"/>
  <c r="K624" i="1"/>
  <c r="C386" i="1"/>
  <c r="K386" i="1"/>
  <c r="C371" i="1"/>
  <c r="K371" i="1"/>
  <c r="C316" i="1"/>
  <c r="K316" i="1"/>
  <c r="C5" i="1"/>
  <c r="K5" i="1"/>
  <c r="L5" i="1"/>
  <c r="Q24" i="2"/>
  <c r="Q25" i="2"/>
  <c r="Q26" i="2"/>
  <c r="Q27" i="2"/>
  <c r="Q28" i="2"/>
  <c r="Q29" i="2"/>
  <c r="Q30" i="2"/>
  <c r="Q31" i="2"/>
  <c r="Q32" i="2"/>
  <c r="Q33" i="2"/>
  <c r="Q34" i="2"/>
  <c r="Q23" i="2"/>
  <c r="M25" i="2"/>
  <c r="M26" i="2"/>
  <c r="M27" i="2"/>
  <c r="M28" i="2"/>
  <c r="M29" i="2"/>
  <c r="M30" i="2"/>
  <c r="M31" i="2"/>
  <c r="M32" i="2"/>
  <c r="M33" i="2"/>
  <c r="M34" i="2"/>
  <c r="M35" i="2"/>
  <c r="M24" i="2"/>
  <c r="M88" i="2"/>
  <c r="M89" i="2"/>
  <c r="M90" i="2"/>
  <c r="M91" i="2"/>
  <c r="M92" i="2"/>
  <c r="M93" i="2"/>
  <c r="M94" i="2"/>
  <c r="M95" i="2"/>
  <c r="M96" i="2"/>
  <c r="M97" i="2"/>
  <c r="M98" i="2"/>
  <c r="M87" i="2"/>
  <c r="P67" i="2"/>
  <c r="O88" i="2"/>
  <c r="P68" i="2"/>
  <c r="O89" i="2"/>
  <c r="P69" i="2"/>
  <c r="O90" i="2"/>
  <c r="P70" i="2"/>
  <c r="O91" i="2"/>
  <c r="P71" i="2"/>
  <c r="O92" i="2"/>
  <c r="P72" i="2"/>
  <c r="O93" i="2"/>
  <c r="P73" i="2"/>
  <c r="O94" i="2"/>
  <c r="P74" i="2"/>
  <c r="O95" i="2"/>
  <c r="P75" i="2"/>
  <c r="O96" i="2"/>
  <c r="P76" i="2"/>
  <c r="O97" i="2"/>
  <c r="P77" i="2"/>
  <c r="O98" i="2"/>
  <c r="P66" i="2"/>
  <c r="O87" i="2"/>
  <c r="L67" i="2"/>
  <c r="N88" i="2"/>
  <c r="L68" i="2"/>
  <c r="N89" i="2"/>
  <c r="L69" i="2"/>
  <c r="N90" i="2"/>
  <c r="L70" i="2"/>
  <c r="N91" i="2"/>
  <c r="L71" i="2"/>
  <c r="N92" i="2"/>
  <c r="L72" i="2"/>
  <c r="N93" i="2"/>
  <c r="L73" i="2"/>
  <c r="N94" i="2"/>
  <c r="L74" i="2"/>
  <c r="N95" i="2"/>
  <c r="L75" i="2"/>
  <c r="N96" i="2"/>
  <c r="L76" i="2"/>
  <c r="N97" i="2"/>
  <c r="L77" i="2"/>
  <c r="N98" i="2"/>
  <c r="L66" i="2"/>
  <c r="N87" i="2"/>
  <c r="F37" i="2"/>
  <c r="G37" i="2"/>
  <c r="F38" i="2"/>
  <c r="G38" i="2"/>
  <c r="F39" i="2"/>
  <c r="G39" i="2"/>
  <c r="F36" i="2"/>
  <c r="G36" i="2"/>
  <c r="B37" i="2"/>
  <c r="C37" i="2"/>
  <c r="B38" i="2"/>
  <c r="C38" i="2"/>
  <c r="B39" i="2"/>
  <c r="C39" i="2"/>
  <c r="B36" i="2"/>
  <c r="C36" i="2"/>
  <c r="P24" i="2"/>
  <c r="P25" i="2"/>
  <c r="P26" i="2"/>
  <c r="P27" i="2"/>
  <c r="P28" i="2"/>
  <c r="P29" i="2"/>
  <c r="P30" i="2"/>
  <c r="P31" i="2"/>
  <c r="P32" i="2"/>
  <c r="P33" i="2"/>
  <c r="P34" i="2"/>
  <c r="P23" i="2"/>
  <c r="L25" i="2"/>
  <c r="L26" i="2"/>
  <c r="L27" i="2"/>
  <c r="L28" i="2"/>
  <c r="L29" i="2"/>
  <c r="L30" i="2"/>
  <c r="L31" i="2"/>
  <c r="L32" i="2"/>
  <c r="L33" i="2"/>
  <c r="L34" i="2"/>
  <c r="L35" i="2"/>
  <c r="L24" i="2"/>
  <c r="F16" i="2"/>
  <c r="F17" i="2"/>
  <c r="F18" i="2"/>
  <c r="F19" i="2"/>
  <c r="F15" i="2"/>
  <c r="E16" i="2"/>
  <c r="E17" i="2"/>
  <c r="E18" i="2"/>
  <c r="E19" i="2"/>
  <c r="E15" i="2"/>
  <c r="B16" i="2"/>
  <c r="B17" i="2"/>
  <c r="B18" i="2"/>
  <c r="B19" i="2"/>
  <c r="B15" i="2"/>
  <c r="A16" i="2"/>
  <c r="A17" i="2"/>
  <c r="A18" i="2"/>
  <c r="A19" i="2"/>
  <c r="A15" i="2"/>
  <c r="P35" i="2"/>
  <c r="L36" i="2"/>
  <c r="Q35" i="2"/>
</calcChain>
</file>

<file path=xl/sharedStrings.xml><?xml version="1.0" encoding="utf-8"?>
<sst xmlns="http://schemas.openxmlformats.org/spreadsheetml/2006/main" count="4188" uniqueCount="1287">
  <si>
    <t>FECHA DE DESCUENTO</t>
  </si>
  <si>
    <t>FECHA DE VENCIMIENTO</t>
  </si>
  <si>
    <t>DIAS VENCIDOS</t>
  </si>
  <si>
    <t>RUC</t>
  </si>
  <si>
    <t>RAZON SOCIAL</t>
  </si>
  <si>
    <t>ZONA CLIENTE</t>
  </si>
  <si>
    <t>MONEDA</t>
  </si>
  <si>
    <t>S/</t>
  </si>
  <si>
    <t>$$</t>
  </si>
  <si>
    <t>EDADES</t>
  </si>
  <si>
    <t>FECHA VENCIMIENTO</t>
  </si>
  <si>
    <t>08-FD01-00000059</t>
  </si>
  <si>
    <t>PECUARIA SAN FRANCISCO S.A.C.</t>
  </si>
  <si>
    <t>Sur Chico</t>
  </si>
  <si>
    <t>01-F001-00005880</t>
  </si>
  <si>
    <t>GRANJA AVICOLA SEIKEN S.A.C.</t>
  </si>
  <si>
    <t>Norte Chico</t>
  </si>
  <si>
    <t>01-F001-00006324</t>
  </si>
  <si>
    <t>GRANJA DON AUGUSTO EMPRESA INDIVIDUAL DE RESPONSABILIDAD LIMITADA</t>
  </si>
  <si>
    <t>08-FD01-00000069</t>
  </si>
  <si>
    <t>01-F001-00006889</t>
  </si>
  <si>
    <t>08-FD01-00000084</t>
  </si>
  <si>
    <t>01-F001-00009440</t>
  </si>
  <si>
    <t>GRANJA AVICOLA SYM S.A.</t>
  </si>
  <si>
    <t>01-F001-00009824</t>
  </si>
  <si>
    <t>ADITIVOS ESENCIALES SOCIEDAD ANONIMA CERRADA</t>
  </si>
  <si>
    <t>Oficina</t>
  </si>
  <si>
    <t>08-FD01-00000105</t>
  </si>
  <si>
    <t>NEGOCIOS E INVERSIONES AGROPECUARIAS SAC</t>
  </si>
  <si>
    <t>US$</t>
  </si>
  <si>
    <t>08-FD01-00000104</t>
  </si>
  <si>
    <t>01-0001-00009601</t>
  </si>
  <si>
    <t>AVES Y PORCINOS S.A.C.</t>
  </si>
  <si>
    <t>Sur Grande</t>
  </si>
  <si>
    <t>01-F001-00009602</t>
  </si>
  <si>
    <t>01-F001-00010163</t>
  </si>
  <si>
    <t>COMISION DE PROMOCION DEL PERU PARA LA EXPORTACION Y EL TURISMO - PROMPERU</t>
  </si>
  <si>
    <t>08-FD01-00000103</t>
  </si>
  <si>
    <t>08-FD01-00000109</t>
  </si>
  <si>
    <t>08-FD01-00000108</t>
  </si>
  <si>
    <t>08-FD01-00000110</t>
  </si>
  <si>
    <t>08-FD01-00000111</t>
  </si>
  <si>
    <t>08-FD01-00000116</t>
  </si>
  <si>
    <t>08-FD01-00000115</t>
  </si>
  <si>
    <t>01-F001-00010940</t>
  </si>
  <si>
    <t>INVERSIONES AGROINDUSTRIALES EL TAHUAMPAL E.I.R.L.</t>
  </si>
  <si>
    <t>Oriente Centro</t>
  </si>
  <si>
    <t>01-F001-00010901</t>
  </si>
  <si>
    <t>CORPORACION AGROPECUARIA YARELY &amp; C. VALENTIN S.A.C.</t>
  </si>
  <si>
    <t>01-F001-00011458</t>
  </si>
  <si>
    <t>AGROPECUARIA LOCK S.A</t>
  </si>
  <si>
    <t>01-F001-00011511</t>
  </si>
  <si>
    <t>01-F001-00011593</t>
  </si>
  <si>
    <t>CORPORACION AGROINDUSTRIAL SAN BERNARDO S.A.C.</t>
  </si>
  <si>
    <t>01-F001-00012114</t>
  </si>
  <si>
    <t>PRODMIL S.A.C.</t>
  </si>
  <si>
    <t>01-F001-00012134</t>
  </si>
  <si>
    <t>GRANJA DON SEBAS S.A.C.</t>
  </si>
  <si>
    <t>Norte Grande</t>
  </si>
  <si>
    <t>01-F001-00012247</t>
  </si>
  <si>
    <t>01-F001-00012267</t>
  </si>
  <si>
    <t>01-F001-00012066</t>
  </si>
  <si>
    <t>INVETCO S.A.C</t>
  </si>
  <si>
    <t>01-F001-00012419</t>
  </si>
  <si>
    <t>01-F001-00012422</t>
  </si>
  <si>
    <t>01-F001-00012486</t>
  </si>
  <si>
    <t>01-F001-00012535</t>
  </si>
  <si>
    <t>MULTIPECUARIA AVIPOR SOCIEDAD ANONIMA - MULTIAVIPOR S.A.</t>
  </si>
  <si>
    <t>01-F001-00012145</t>
  </si>
  <si>
    <t>01-F001-00012625</t>
  </si>
  <si>
    <t>01-F001-00012469</t>
  </si>
  <si>
    <t>01-F001-00012787</t>
  </si>
  <si>
    <t>01-F001-00012348</t>
  </si>
  <si>
    <t>01-F001-00012378</t>
  </si>
  <si>
    <t>01-F001-00012879</t>
  </si>
  <si>
    <t>01-F001-00012942</t>
  </si>
  <si>
    <t>01-F001-00013028</t>
  </si>
  <si>
    <t>TORREJON MORI ENRIQUE</t>
  </si>
  <si>
    <t>01-F001-00012786</t>
  </si>
  <si>
    <t>01-F001-00013112</t>
  </si>
  <si>
    <t>AGROSERVICIOS OLMOS E.I.R.L.</t>
  </si>
  <si>
    <t>01-F001-00013113</t>
  </si>
  <si>
    <t>01-F001-00012672</t>
  </si>
  <si>
    <t>01-F001-00013236</t>
  </si>
  <si>
    <t>01-F001-00013416</t>
  </si>
  <si>
    <t>01-F001-00013436</t>
  </si>
  <si>
    <t>01-F001-00013032</t>
  </si>
  <si>
    <t>01-F001-00013542</t>
  </si>
  <si>
    <t>01-F001-00013726</t>
  </si>
  <si>
    <t>01-F001-00013502</t>
  </si>
  <si>
    <t>01-F001-00013808</t>
  </si>
  <si>
    <t>MOZO VALENTIN MANUEL GASPAR</t>
  </si>
  <si>
    <t>01-F001-00014213</t>
  </si>
  <si>
    <t>08-FD01-00000123</t>
  </si>
  <si>
    <t>01-F001-00013846</t>
  </si>
  <si>
    <t>01-F001-00013847</t>
  </si>
  <si>
    <t>01-F001-00013848</t>
  </si>
  <si>
    <t>01-F001-00014214</t>
  </si>
  <si>
    <t>AVICOLA AGROPECUARIA VALENTINA E.I.R.L</t>
  </si>
  <si>
    <t>01-F001-00013926</t>
  </si>
  <si>
    <t>08-FD01-00000119</t>
  </si>
  <si>
    <t>08-FD01-00000121</t>
  </si>
  <si>
    <t>08-FD01-00000120</t>
  </si>
  <si>
    <t>01-F001-00014075</t>
  </si>
  <si>
    <t>01-F001-00014093</t>
  </si>
  <si>
    <t>01-F001-00014072</t>
  </si>
  <si>
    <t>01-F001-00014074</t>
  </si>
  <si>
    <t>01-F001-00014131</t>
  </si>
  <si>
    <t>01-F001-00014139</t>
  </si>
  <si>
    <t>01-F001-00014164</t>
  </si>
  <si>
    <t>01-F001-00014274</t>
  </si>
  <si>
    <t>08-FD01-00000122</t>
  </si>
  <si>
    <t>01-F001-00014311</t>
  </si>
  <si>
    <t>01-F001-00014318</t>
  </si>
  <si>
    <t>01-F001-00014322</t>
  </si>
  <si>
    <t>01-F001-00014323</t>
  </si>
  <si>
    <t>01-F001-00014325</t>
  </si>
  <si>
    <t>01-F001-00014321</t>
  </si>
  <si>
    <t>01-F001-00014324</t>
  </si>
  <si>
    <t>01-F001-00014402</t>
  </si>
  <si>
    <t>01-F001-00014446</t>
  </si>
  <si>
    <t>01-F001-00014503</t>
  </si>
  <si>
    <t>01-F001-00014519</t>
  </si>
  <si>
    <t>01-F001-00014310</t>
  </si>
  <si>
    <t>01-F001-00014073</t>
  </si>
  <si>
    <t>01-F001-00014549</t>
  </si>
  <si>
    <t>01-F001-00014550</t>
  </si>
  <si>
    <t>01-F001-00014602</t>
  </si>
  <si>
    <t>01-F001-00014408</t>
  </si>
  <si>
    <t>01-F001-00014654</t>
  </si>
  <si>
    <t>AGROPECUARIA LA CHACRA S.R.L.</t>
  </si>
  <si>
    <t>01-F001-00014672</t>
  </si>
  <si>
    <t>01-F001-00014258</t>
  </si>
  <si>
    <t>01-F001-00014518</t>
  </si>
  <si>
    <t>01-F001-00014395</t>
  </si>
  <si>
    <t>01-F001-00015096</t>
  </si>
  <si>
    <t>01-F001-00014841</t>
  </si>
  <si>
    <t>01-F001-00014836</t>
  </si>
  <si>
    <t>01-F001-00014863</t>
  </si>
  <si>
    <t>01-F001-00014889</t>
  </si>
  <si>
    <t>01-F001-00015077</t>
  </si>
  <si>
    <t>01-F001-00014918</t>
  </si>
  <si>
    <t>01-F001-00014975</t>
  </si>
  <si>
    <t>01-F001-00015053</t>
  </si>
  <si>
    <t>01-F001-00015078</t>
  </si>
  <si>
    <t>01-F001-00015111</t>
  </si>
  <si>
    <t>01-F001-00015112</t>
  </si>
  <si>
    <t>01-F001-00015113</t>
  </si>
  <si>
    <t>01-F001-00015114</t>
  </si>
  <si>
    <t>01-F001-00015115</t>
  </si>
  <si>
    <t>01-F001-00015118</t>
  </si>
  <si>
    <t>01-F001-00015117</t>
  </si>
  <si>
    <t>01-F001-00015116</t>
  </si>
  <si>
    <t>01-F001-00015106</t>
  </si>
  <si>
    <t>01-F001-00015163</t>
  </si>
  <si>
    <t>AGROPECUARIA UPB WORD S.A.C.</t>
  </si>
  <si>
    <t>01-F001-00015079</t>
  </si>
  <si>
    <t>01-F001-00015348</t>
  </si>
  <si>
    <t>AVICOLA EL GAMONAL E.I.R.L.</t>
  </si>
  <si>
    <t>01-F001-00015400</t>
  </si>
  <si>
    <t>01-F001-00015485</t>
  </si>
  <si>
    <t>LOS SAUCES REPRESENTACIONES S.A.C.</t>
  </si>
  <si>
    <t>01-F001-00015487</t>
  </si>
  <si>
    <t>01-F001-00015639</t>
  </si>
  <si>
    <t>01-F001-00015192</t>
  </si>
  <si>
    <t>01-F001-00015513</t>
  </si>
  <si>
    <t>01-F001-00015500</t>
  </si>
  <si>
    <t>01-F001-00016008</t>
  </si>
  <si>
    <t>RICO CERDO F &amp; G S.A.C</t>
  </si>
  <si>
    <t>01-F001-00015728</t>
  </si>
  <si>
    <t>01-F001-00016342</t>
  </si>
  <si>
    <t>01-F001-00016410</t>
  </si>
  <si>
    <t>CARRASCO ALEJOS KENNY JHOEL.</t>
  </si>
  <si>
    <t>01-F001-00016015</t>
  </si>
  <si>
    <t>INVERSIONES PAMPA REAL S.A.C.</t>
  </si>
  <si>
    <t>01-F001-00016466</t>
  </si>
  <si>
    <t>01-F001-00016728</t>
  </si>
  <si>
    <t>01-F001-00016812</t>
  </si>
  <si>
    <t>SANIDAD AGROPECUARIA &amp; ASOCIADOS S.A.C.</t>
  </si>
  <si>
    <t>01-F001-00017460</t>
  </si>
  <si>
    <t>01-F001-00017166</t>
  </si>
  <si>
    <t>AGROPECUARIA SAGASA E.I.R.L.</t>
  </si>
  <si>
    <t>01-F001-00017600</t>
  </si>
  <si>
    <t>01-F001-00017298</t>
  </si>
  <si>
    <t>01-F001-00017459</t>
  </si>
  <si>
    <t>01-F001-00017503</t>
  </si>
  <si>
    <t>01-F001-00017639</t>
  </si>
  <si>
    <t>01-F001-00017675</t>
  </si>
  <si>
    <t>01-F001-00017729</t>
  </si>
  <si>
    <t>NEGOCIACION AGROPECUARIA ACACIAS E.I.R.L.</t>
  </si>
  <si>
    <t>01-F001-00017761</t>
  </si>
  <si>
    <t>01-F001-00017210</t>
  </si>
  <si>
    <t>01-F001-00017807</t>
  </si>
  <si>
    <t>01-F001-00017805</t>
  </si>
  <si>
    <t>01-F001-00018315</t>
  </si>
  <si>
    <t>01-F001-00018323</t>
  </si>
  <si>
    <t>JMA AGRONEGOCIOS S.A.C.</t>
  </si>
  <si>
    <t>01-F001-00017813</t>
  </si>
  <si>
    <t>AVICOLA GLORIA S.A.C.</t>
  </si>
  <si>
    <t>01-F001-00017996</t>
  </si>
  <si>
    <t>01-F001-00017987</t>
  </si>
  <si>
    <t>01-F001-00018058</t>
  </si>
  <si>
    <t>01-F001-00018278</t>
  </si>
  <si>
    <t>01-F001-00018162</t>
  </si>
  <si>
    <t>AGROPECUARIA HUERTOS DEL SUR E.I.R.L.</t>
  </si>
  <si>
    <t>01-F001-00018380</t>
  </si>
  <si>
    <t>01-F001-00018581</t>
  </si>
  <si>
    <t>01-F001-00018638</t>
  </si>
  <si>
    <t>01-F001-00018666</t>
  </si>
  <si>
    <t>01-F001-00018667</t>
  </si>
  <si>
    <t>01-F001-00018668</t>
  </si>
  <si>
    <t>01-F001-00018662</t>
  </si>
  <si>
    <t>01-F001-00018656</t>
  </si>
  <si>
    <t>08-FD01-00000132</t>
  </si>
  <si>
    <t>PANCARA S.A.C.</t>
  </si>
  <si>
    <t>01-F001-00018742</t>
  </si>
  <si>
    <t>GRANJA AVICOLA SAN BENJAMIN E.I R.L.</t>
  </si>
  <si>
    <t>08-FD01-00000133</t>
  </si>
  <si>
    <t>08-FD01-00000134</t>
  </si>
  <si>
    <t>01-F001-00018115</t>
  </si>
  <si>
    <t>01-F001-00018870</t>
  </si>
  <si>
    <t>01-F001-00018949</t>
  </si>
  <si>
    <t>CORPORACION SOLFAB SAC</t>
  </si>
  <si>
    <t>01-F001-00018768</t>
  </si>
  <si>
    <t>01-F001-00018848</t>
  </si>
  <si>
    <t>AGROPECUARIA CARIOCA S.A.C.</t>
  </si>
  <si>
    <t>01-F001-00018915</t>
  </si>
  <si>
    <t>AGROINDUSTRIAS MOLINOS DEL SUR E.I.R.L.</t>
  </si>
  <si>
    <t>01-F001-00019535</t>
  </si>
  <si>
    <t>01-F001-00019525</t>
  </si>
  <si>
    <t>01-F001-00019592</t>
  </si>
  <si>
    <t>01-F001-00019230</t>
  </si>
  <si>
    <t>BIOETIS S.A.C.</t>
  </si>
  <si>
    <t>01-F001-00019154</t>
  </si>
  <si>
    <t>01-F001-00019193</t>
  </si>
  <si>
    <t>NEGOCIACIONES PECUARIAS ALE E.I.R.L.</t>
  </si>
  <si>
    <t>HUEVOS S.A.C.</t>
  </si>
  <si>
    <t>01-F001-00019403</t>
  </si>
  <si>
    <t>01-F001-00019904</t>
  </si>
  <si>
    <t>CHAVEZ RAMIREZ JORGE ENRIQUE</t>
  </si>
  <si>
    <t>01-F001-00019507</t>
  </si>
  <si>
    <t>GANADERA EL MILAGRO S.A.C.</t>
  </si>
  <si>
    <t>01-F001-00019638</t>
  </si>
  <si>
    <t>01-F001-00019839</t>
  </si>
  <si>
    <t>01-F001-00018396</t>
  </si>
  <si>
    <t>GRUPO GRANJERITO S.A.C</t>
  </si>
  <si>
    <t>AVICOLA JAPI S.R.L.</t>
  </si>
  <si>
    <t>01-F001-00020212</t>
  </si>
  <si>
    <t>AVICOLA MIRAMAR EL PEDREGAL S.A.C.</t>
  </si>
  <si>
    <t>08-FD01-00000135</t>
  </si>
  <si>
    <t>08-FD01-00000136</t>
  </si>
  <si>
    <t>01-F001-00019246</t>
  </si>
  <si>
    <t>DONAVE S.A.C.</t>
  </si>
  <si>
    <t>03-B001-00000962</t>
  </si>
  <si>
    <t>OROSCO QUIO WALTER MARTIN</t>
  </si>
  <si>
    <t>03-B001-00000963</t>
  </si>
  <si>
    <t>01-F001-00019918</t>
  </si>
  <si>
    <t>01-F001-00019919</t>
  </si>
  <si>
    <t>01-F001-00019810</t>
  </si>
  <si>
    <t>01-F001-00019811</t>
  </si>
  <si>
    <t>01-F001-00019717</t>
  </si>
  <si>
    <t>03-B001-00000972</t>
  </si>
  <si>
    <t>01-F001-00020112</t>
  </si>
  <si>
    <t>01-F001-00019812</t>
  </si>
  <si>
    <t>01-F001-00020146</t>
  </si>
  <si>
    <t>APAZA VALERIANO ANDERSON BLADIMIR.</t>
  </si>
  <si>
    <t>01-F001-00020230</t>
  </si>
  <si>
    <t>01-F001-00020233</t>
  </si>
  <si>
    <t>01-F001-00020015</t>
  </si>
  <si>
    <t>01-F001-00020281</t>
  </si>
  <si>
    <t>01-F001-00020084</t>
  </si>
  <si>
    <t>01-F001-00020086</t>
  </si>
  <si>
    <t>01-F001-00020520</t>
  </si>
  <si>
    <t>ALIMENTOS LA ESPERANZA S.A.C.</t>
  </si>
  <si>
    <t>01-F001-00020518</t>
  </si>
  <si>
    <t>01-E001-00000300</t>
  </si>
  <si>
    <t>01-F001-00020521</t>
  </si>
  <si>
    <t>01-F001-00020340</t>
  </si>
  <si>
    <t>01-E001-00000322</t>
  </si>
  <si>
    <t>01-E001-00000323</t>
  </si>
  <si>
    <t>01-F001-00020151</t>
  </si>
  <si>
    <t>01-E001-00000388</t>
  </si>
  <si>
    <t>01-E001-00000389</t>
  </si>
  <si>
    <t>01-F001-00020424</t>
  </si>
  <si>
    <t>01-F001-00020275</t>
  </si>
  <si>
    <t>01-F001-00020276</t>
  </si>
  <si>
    <t>01-E001-00000496</t>
  </si>
  <si>
    <t>FVL GRANJA LOS ANGELES S.A.C.</t>
  </si>
  <si>
    <t>01-F001-00020390</t>
  </si>
  <si>
    <t>01-F001-00020403</t>
  </si>
  <si>
    <t>01-E001-00000383</t>
  </si>
  <si>
    <t>01-E001-00000398</t>
  </si>
  <si>
    <t>01-E001-00000418</t>
  </si>
  <si>
    <t>01-F001-00020555</t>
  </si>
  <si>
    <t>01-E001-00000366</t>
  </si>
  <si>
    <t>01-FN01-00000060</t>
  </si>
  <si>
    <t>GRANJA EL SOLITARIO S.A.C.</t>
  </si>
  <si>
    <t>01-FN01-00000059</t>
  </si>
  <si>
    <t>01-FN01-00000061</t>
  </si>
  <si>
    <t>01-E001-00000249</t>
  </si>
  <si>
    <t>01-E001-00000453</t>
  </si>
  <si>
    <t>FUNDO VILLA ESMERALDA E.I.R.L.</t>
  </si>
  <si>
    <t>01-E001-00000335</t>
  </si>
  <si>
    <t>01-FN01-00000062</t>
  </si>
  <si>
    <t>AVICOLA QG S.A.C.</t>
  </si>
  <si>
    <t>01-FN01-00000420</t>
  </si>
  <si>
    <t>MULTIGRANJA SANTA ROSA S.C.R.L.</t>
  </si>
  <si>
    <t>01-E001-00000475</t>
  </si>
  <si>
    <t>01-E001-00000500</t>
  </si>
  <si>
    <t>01-FN01-00000225</t>
  </si>
  <si>
    <t>01-FN01-00000226</t>
  </si>
  <si>
    <t>01-FN01-00000118</t>
  </si>
  <si>
    <t>01-E001-00000474</t>
  </si>
  <si>
    <t>03-BN01-00000056</t>
  </si>
  <si>
    <t>ROJAS HUAYAPA RICKY EDISON</t>
  </si>
  <si>
    <t>01-FN01-00000184</t>
  </si>
  <si>
    <t>01-FN01-00000360</t>
  </si>
  <si>
    <t>01-FN01-00000188</t>
  </si>
  <si>
    <t>01-FN01-00000212</t>
  </si>
  <si>
    <t>01-FN01-00000213</t>
  </si>
  <si>
    <t>01-FN01-00000242</t>
  </si>
  <si>
    <t>INTEGRACION TORRES S.A.C.</t>
  </si>
  <si>
    <t>01-FN01-00000274</t>
  </si>
  <si>
    <t>01-FN01-00000316</t>
  </si>
  <si>
    <t>01-FN01-00000309</t>
  </si>
  <si>
    <t>01-FN01-00000319</t>
  </si>
  <si>
    <t>01-FN01-00000589</t>
  </si>
  <si>
    <t>01-FN01-00000415</t>
  </si>
  <si>
    <t>01-E001-00000397</t>
  </si>
  <si>
    <t>01-FN01-00000417</t>
  </si>
  <si>
    <t>01-FN01-00000422</t>
  </si>
  <si>
    <t>AGROPECUARIA DOÑA SILVIA S.R.L.</t>
  </si>
  <si>
    <t>03-BN01-00000090</t>
  </si>
  <si>
    <t>NAVARRO ARHUATA JULIO HERNAN</t>
  </si>
  <si>
    <t>01-FN01-00000698</t>
  </si>
  <si>
    <t>01-FN01-00000550</t>
  </si>
  <si>
    <t>01-FN01-00000551</t>
  </si>
  <si>
    <t>AVICOLA CRESTA ROJA EIRL.</t>
  </si>
  <si>
    <t>01-FN01-00000637</t>
  </si>
  <si>
    <t>01-FN01-00000644</t>
  </si>
  <si>
    <t>01-FN01-00000680</t>
  </si>
  <si>
    <t>INVERSIONES AVIPECUARIAS LA YEMA DE ORO E.I.R.L.</t>
  </si>
  <si>
    <t>03-BN01-00000105</t>
  </si>
  <si>
    <t>CORNEJO VALENCIA VICTOR ANGEL</t>
  </si>
  <si>
    <t>01-FN01-00001298</t>
  </si>
  <si>
    <t>01-FN01-00001309</t>
  </si>
  <si>
    <t>NUTRIMENTOS TECHNOLOGI S.R.L.</t>
  </si>
  <si>
    <t>01-FN01-00000718</t>
  </si>
  <si>
    <t>01-FN01-00000965</t>
  </si>
  <si>
    <t>01-FN01-00000860</t>
  </si>
  <si>
    <t>01-FN01-00001423</t>
  </si>
  <si>
    <t>INTEGRACION MONZON E.I.R.L.</t>
  </si>
  <si>
    <t>01-FN01-00001408</t>
  </si>
  <si>
    <t>EVANS CARGO S.A.C.</t>
  </si>
  <si>
    <t>ESTANCIA SANTA FE S.A.C.</t>
  </si>
  <si>
    <t>GRUPO SANTA ELENA S.A.</t>
  </si>
  <si>
    <t>01-FN01-00001222</t>
  </si>
  <si>
    <t>DACHPIGS E.I.R.L.</t>
  </si>
  <si>
    <t>AVICOLA FAMA EIRL</t>
  </si>
  <si>
    <t>GRANJA AVICOLA REC S.A.C.</t>
  </si>
  <si>
    <t>PONEDORAS S.A.C.</t>
  </si>
  <si>
    <t>01-FN05-00000030</t>
  </si>
  <si>
    <t>ELANCO COLOMBIA SAS</t>
  </si>
  <si>
    <t>01-FN01-00000901</t>
  </si>
  <si>
    <t>01-FN01-00000902</t>
  </si>
  <si>
    <t>01-FN01-00000930</t>
  </si>
  <si>
    <t>01-FN01-00000932</t>
  </si>
  <si>
    <t>01-FN01-00001338</t>
  </si>
  <si>
    <t>01-FN01-00000954</t>
  </si>
  <si>
    <t>01-FN01-00001652</t>
  </si>
  <si>
    <t>01-FN01-00001653</t>
  </si>
  <si>
    <t>01-FN01-00001654</t>
  </si>
  <si>
    <t>01-FN01-00001655</t>
  </si>
  <si>
    <t>PERULAB ECOLOGIC S.A.C.</t>
  </si>
  <si>
    <t>01-FN01-00001058</t>
  </si>
  <si>
    <t>PACO JARAMILLO PERSI</t>
  </si>
  <si>
    <t>01-FN01-00001253</t>
  </si>
  <si>
    <t>DEMETRIOS CHICKEN S.A.C</t>
  </si>
  <si>
    <t>01-FN01-00001424</t>
  </si>
  <si>
    <t>03-BN01-00000115</t>
  </si>
  <si>
    <t>SANTANDER SANTANDER VILMA VIRGINIA</t>
  </si>
  <si>
    <t>INVERSIONES AGROPECUARIAS HC SAC</t>
  </si>
  <si>
    <t>ZEA ABARCA ZAMANTHA</t>
  </si>
  <si>
    <t>01-FN01-00001464</t>
  </si>
  <si>
    <t>AGRO INDUSTRIA AUCALLAMA S.R.L.</t>
  </si>
  <si>
    <t>01-FN01-00001105</t>
  </si>
  <si>
    <t>01-FN01-00001292</t>
  </si>
  <si>
    <t>01-FN01-00001129</t>
  </si>
  <si>
    <t>01-FN01-00001111</t>
  </si>
  <si>
    <t>AGROINVERSIONES MARIO S.A.C.</t>
  </si>
  <si>
    <t>01-FN01-00001141</t>
  </si>
  <si>
    <t>01-FN01-00001153</t>
  </si>
  <si>
    <t>Etiquetas de fila</t>
  </si>
  <si>
    <t>Total general</t>
  </si>
  <si>
    <t>Suma de S/</t>
  </si>
  <si>
    <t>Cuentas por cobrar</t>
  </si>
  <si>
    <t>180 &lt;= 360 DIAS</t>
  </si>
  <si>
    <t>30 &lt;= 60 DIAS</t>
  </si>
  <si>
    <t>60 &lt;= 90 DIAS</t>
  </si>
  <si>
    <t>90 &lt;= 180 DIAS</t>
  </si>
  <si>
    <t>DEUDA TOTAL EN SOLES</t>
  </si>
  <si>
    <t>EDAD DE VENCIMIENTO</t>
  </si>
  <si>
    <t>MONTO DEUDA</t>
  </si>
  <si>
    <t>Suma de $$</t>
  </si>
  <si>
    <t>01-Ene</t>
  </si>
  <si>
    <t>02-Feb</t>
  </si>
  <si>
    <t>03-Mar</t>
  </si>
  <si>
    <t>04-Abr</t>
  </si>
  <si>
    <t>05-May</t>
  </si>
  <si>
    <t>06-Jun</t>
  </si>
  <si>
    <t>07-Jul</t>
  </si>
  <si>
    <t>08-Ago</t>
  </si>
  <si>
    <t>09-Set</t>
  </si>
  <si>
    <t>10-Oct</t>
  </si>
  <si>
    <t>11-Nov</t>
  </si>
  <si>
    <t>12-Dic</t>
  </si>
  <si>
    <t>SOLES</t>
  </si>
  <si>
    <t>DOLARES</t>
  </si>
  <si>
    <t>Resta</t>
  </si>
  <si>
    <t>resta</t>
  </si>
  <si>
    <t>TENDENCIA EN SOLES</t>
  </si>
  <si>
    <t>TENDENCIA EN DOLARES</t>
  </si>
  <si>
    <t>TENDENCIA GLOBAL</t>
  </si>
  <si>
    <t>SUMA SOLES</t>
  </si>
  <si>
    <t>SUMA DE DOLARES</t>
  </si>
  <si>
    <t>TENDENCIA POR MES</t>
  </si>
  <si>
    <t>TENDENCIA ACUMULADA</t>
  </si>
  <si>
    <t>REPORTE DE CUENTAS POR COBRAR</t>
  </si>
  <si>
    <t>LISTA DE MACROS</t>
  </si>
  <si>
    <t>CLIENTES_30_60_SOLES</t>
  </si>
  <si>
    <t>CLIENTES_60_90_SOLES</t>
  </si>
  <si>
    <t>CLIENTES_90_180_SOLES</t>
  </si>
  <si>
    <t>CLIENTES_180_360_SOLES</t>
  </si>
  <si>
    <t>CLIENTES_30_60_DOLARES</t>
  </si>
  <si>
    <t>CLIENTES_60_90_DOLARES</t>
  </si>
  <si>
    <t>CLIENTES_90_180_DOLARES</t>
  </si>
  <si>
    <t>CLIENTES_180_360_DOLARES</t>
  </si>
  <si>
    <t>ACTUALIZAR_TODO</t>
  </si>
  <si>
    <t>QUITAR_FILTRO</t>
  </si>
  <si>
    <t>IR_DASHBOARD</t>
  </si>
  <si>
    <t>NUMERO DE FACTURA</t>
  </si>
  <si>
    <t>01-FN01-00003038</t>
  </si>
  <si>
    <t>A.T.C. COMERCIAL S.A.C.</t>
  </si>
  <si>
    <t>01-FN01-00003040</t>
  </si>
  <si>
    <t>ACAMSA S.A.C</t>
  </si>
  <si>
    <t>01-FN01-00003015</t>
  </si>
  <si>
    <t>01-FN05-00000163</t>
  </si>
  <si>
    <t>ADDERA PERU S.A.C.</t>
  </si>
  <si>
    <t>01-FN05-00000137</t>
  </si>
  <si>
    <t>01-FN05-00000138</t>
  </si>
  <si>
    <t>01-FN05-00000165</t>
  </si>
  <si>
    <t>01-FN05-00000118</t>
  </si>
  <si>
    <t>01-FN05-00000166</t>
  </si>
  <si>
    <t>01-FN01-00002828</t>
  </si>
  <si>
    <t>AGRICOLA GANADERA LAS CANELAS SOCIEDAD ANONIMA CERRADA</t>
  </si>
  <si>
    <t>01-E001-00000683</t>
  </si>
  <si>
    <t>01-E001-00000665</t>
  </si>
  <si>
    <t>01-FN01-00002184</t>
  </si>
  <si>
    <t>01-FN01-00002790</t>
  </si>
  <si>
    <t>AGROCORPORACION SAN DIEGO S.A.C.</t>
  </si>
  <si>
    <t>01-FN01-00002974</t>
  </si>
  <si>
    <t>01-FN01-00002750</t>
  </si>
  <si>
    <t>01-FN01-00002789</t>
  </si>
  <si>
    <t>01-E001-00000669</t>
  </si>
  <si>
    <t>AGROINDUSTRIA EL COMEDERO S.C.R.L.</t>
  </si>
  <si>
    <t>01-FN01-00002890</t>
  </si>
  <si>
    <t>01-FN01-00002898</t>
  </si>
  <si>
    <t>01-FN01-00002763</t>
  </si>
  <si>
    <t>01-FN01-00002288</t>
  </si>
  <si>
    <t>01-FN01-00002038</t>
  </si>
  <si>
    <t>01-FN01-00002962</t>
  </si>
  <si>
    <t>01-FN01-00002963</t>
  </si>
  <si>
    <t>01-FN01-00002889</t>
  </si>
  <si>
    <t>AGROPECUARIA AGUIRRE S.A.C.</t>
  </si>
  <si>
    <t>01-E001-00000664</t>
  </si>
  <si>
    <t>01-FN01-00002579</t>
  </si>
  <si>
    <t>AGROPECUARIA ALEXIM S.A.C.</t>
  </si>
  <si>
    <t>01-FN01-00002990</t>
  </si>
  <si>
    <t>AGROPECUARIA ANGUS S.A.</t>
  </si>
  <si>
    <t>01-FN01-00003031</t>
  </si>
  <si>
    <t>AGROPECUARIA AVICOLA SAN CARLOS E.I.R.L.</t>
  </si>
  <si>
    <t>01-FN01-00002323</t>
  </si>
  <si>
    <t>AGROPECUARIA AVIPORC S.A.C.</t>
  </si>
  <si>
    <t>01-FN01-00002435</t>
  </si>
  <si>
    <t>01-FN01-00002322</t>
  </si>
  <si>
    <t>01-FN01-00002728</t>
  </si>
  <si>
    <t>01-FN01-00002585</t>
  </si>
  <si>
    <t>01-FN01-00002785</t>
  </si>
  <si>
    <t>AGROPECUARIA CAMPO REAL S.A.C.</t>
  </si>
  <si>
    <t>01-FN01-00002779</t>
  </si>
  <si>
    <t>01-E001-00000622</t>
  </si>
  <si>
    <t>AGROPECUARIA CHAVIN S.A.C</t>
  </si>
  <si>
    <t>01-E001-00000621</t>
  </si>
  <si>
    <t>01-E001-00000619</t>
  </si>
  <si>
    <t>01-E001-00000620</t>
  </si>
  <si>
    <t>01-FN01-00002727</t>
  </si>
  <si>
    <t>AGROPECUARIA D Y J S.A.C.</t>
  </si>
  <si>
    <t>01-FN01-00002714</t>
  </si>
  <si>
    <t>01-FN01-00002748</t>
  </si>
  <si>
    <t>01-FN01-00002403</t>
  </si>
  <si>
    <t>01-FN01-00002983</t>
  </si>
  <si>
    <t>01-FN01-00002821</t>
  </si>
  <si>
    <t>01-FN01-00002486</t>
  </si>
  <si>
    <t>01-FN01-00002485</t>
  </si>
  <si>
    <t>01-FN01-00001198</t>
  </si>
  <si>
    <t>01-FN01-00002559</t>
  </si>
  <si>
    <t>01-FN01-00002696</t>
  </si>
  <si>
    <t>01-FN01-00001642</t>
  </si>
  <si>
    <t>01-FN01-00001406</t>
  </si>
  <si>
    <t>01-E001-00000689</t>
  </si>
  <si>
    <t>01-FN01-00001323</t>
  </si>
  <si>
    <t>01-FN01-00001928</t>
  </si>
  <si>
    <t>01-FN01-00001967</t>
  </si>
  <si>
    <t>01-FN01-00002004</t>
  </si>
  <si>
    <t>01-FN01-00001245</t>
  </si>
  <si>
    <t>01-FN01-00001458</t>
  </si>
  <si>
    <t>01-FN01-00002063</t>
  </si>
  <si>
    <t>01-FN01-00001580</t>
  </si>
  <si>
    <t>01-FN01-00001482</t>
  </si>
  <si>
    <t>01-FN01-00002091</t>
  </si>
  <si>
    <t>01-FN01-00001535</t>
  </si>
  <si>
    <t>01-FN01-00001227</t>
  </si>
  <si>
    <t>01-FN01-00002298</t>
  </si>
  <si>
    <t>01-FN01-00002246</t>
  </si>
  <si>
    <t>01-FN01-00001886</t>
  </si>
  <si>
    <t>01-FN01-00001825</t>
  </si>
  <si>
    <t>01-FN01-00001764</t>
  </si>
  <si>
    <t>01-FN01-00001608</t>
  </si>
  <si>
    <t>01-FN01-00001716</t>
  </si>
  <si>
    <t>01-FN01-00001588</t>
  </si>
  <si>
    <t>01-FN01-00002160</t>
  </si>
  <si>
    <t>01-FN01-00001667</t>
  </si>
  <si>
    <t>01-FN01-00002105</t>
  </si>
  <si>
    <t>01-FN01-00002680</t>
  </si>
  <si>
    <t>AGROPECUARIA E INDUSTRIAS FAFIO S.A.</t>
  </si>
  <si>
    <t>01-E001-00000663</t>
  </si>
  <si>
    <t>AGROPECUARIA JYR E.I.R.L.</t>
  </si>
  <si>
    <t>01-FN01-00002722</t>
  </si>
  <si>
    <t>AGROPECUARIA LA PROVIDENCIA S.A.C.</t>
  </si>
  <si>
    <t>01-FN01-00001990</t>
  </si>
  <si>
    <t>AGROPECUARIA RIO BRAVO HNOS S.A.C.</t>
  </si>
  <si>
    <t>01-FN01-00002617</t>
  </si>
  <si>
    <t>01-FN01-00002624</t>
  </si>
  <si>
    <t>01-FN01-00002812</t>
  </si>
  <si>
    <t>01-FN01-00002838</t>
  </si>
  <si>
    <t>01-FN01-00002837</t>
  </si>
  <si>
    <t>01-FN01-00002857</t>
  </si>
  <si>
    <t>01-FN01-00002862</t>
  </si>
  <si>
    <t>01-FN01-00002992</t>
  </si>
  <si>
    <t>01-FN01-00002994</t>
  </si>
  <si>
    <t>01-FN01-00002993</t>
  </si>
  <si>
    <t>01-E001-00000720</t>
  </si>
  <si>
    <t>01-E001-00000721</t>
  </si>
  <si>
    <t>01-E001-00000704</t>
  </si>
  <si>
    <t>AGROPECUARIA RIO S.A.C.</t>
  </si>
  <si>
    <t>01-FN01-00003032</t>
  </si>
  <si>
    <t>01-FN01-00002651</t>
  </si>
  <si>
    <t>AGROPECUARIA SAN MIGUEL S.R.L.</t>
  </si>
  <si>
    <t>01-FN01-00002241</t>
  </si>
  <si>
    <t>01-E001-00000593</t>
  </si>
  <si>
    <t>01-E001-00000716</t>
  </si>
  <si>
    <t>AGROPECUARIA SANTO DOMINGO S.A.C.</t>
  </si>
  <si>
    <t>01-E001-00000697</t>
  </si>
  <si>
    <t>AGROPECUARIA V &amp; F SAC</t>
  </si>
  <si>
    <t>01-FN01-00002864</t>
  </si>
  <si>
    <t>AGROPECUARIA VALLECITO S.A.</t>
  </si>
  <si>
    <t>01-FN01-00002457</t>
  </si>
  <si>
    <t>01-FN01-00002385</t>
  </si>
  <si>
    <t>AGROPECUARIA YOIS S.R.L.</t>
  </si>
  <si>
    <t>01-FN01-00002786</t>
  </si>
  <si>
    <t>AGUILA PECUARIA DEL PERU E.I.R.L.</t>
  </si>
  <si>
    <t>01-FN01-00002534</t>
  </si>
  <si>
    <t>ALMACENES AVICOLAS VETERINARIAS EIRL</t>
  </si>
  <si>
    <t>03-BN01-00000218</t>
  </si>
  <si>
    <t>ANHUAMAN AZABACHE,LUIS FERNANDO</t>
  </si>
  <si>
    <t>01-FN01-00002320</t>
  </si>
  <si>
    <t>ANIMAL MARKET PERU S.A.C.</t>
  </si>
  <si>
    <t>01-FN01-00002590</t>
  </si>
  <si>
    <t>01-FN01-00002421</t>
  </si>
  <si>
    <t>01-FN01-00002387</t>
  </si>
  <si>
    <t>ASR PECUARIA S.A.C. - ASRP S.A.C.</t>
  </si>
  <si>
    <t>01-FN01-00002684</t>
  </si>
  <si>
    <t>01-FN01-00002707</t>
  </si>
  <si>
    <t>01-FN01-00002875</t>
  </si>
  <si>
    <t>01-E001-00000678</t>
  </si>
  <si>
    <t>01-E001-00000681</t>
  </si>
  <si>
    <t>01-FN01-00002998</t>
  </si>
  <si>
    <t>AURIS PARIONA HONORATO PEDRO</t>
  </si>
  <si>
    <t>01-FN01-00001879</t>
  </si>
  <si>
    <t>AVES DE LAS AMERICAS EIRL</t>
  </si>
  <si>
    <t>683-2019</t>
  </si>
  <si>
    <t>679-2019</t>
  </si>
  <si>
    <t>669-2019</t>
  </si>
  <si>
    <t>661-2019</t>
  </si>
  <si>
    <t>028-2020</t>
  </si>
  <si>
    <t>017-2020</t>
  </si>
  <si>
    <t>684-2019</t>
  </si>
  <si>
    <t>691-2019</t>
  </si>
  <si>
    <t>650-2019</t>
  </si>
  <si>
    <t>01-FN01-00002892</t>
  </si>
  <si>
    <t>AVIAGEN PERU S.A.C.</t>
  </si>
  <si>
    <t>01-E001-00000558</t>
  </si>
  <si>
    <t>01-FN01-00001578</t>
  </si>
  <si>
    <t>01-FN01-00002841</t>
  </si>
  <si>
    <t>01-E001-00000660</t>
  </si>
  <si>
    <t>AVICOLA CRISTHIAN E.I.R.L.</t>
  </si>
  <si>
    <t>01-FN01-00002513</t>
  </si>
  <si>
    <t>AVICOLA DON QUIJOTE EIRL</t>
  </si>
  <si>
    <t>01-FN01-00001907</t>
  </si>
  <si>
    <t>01-FN01-00003034</t>
  </si>
  <si>
    <t>01-E001-00000690</t>
  </si>
  <si>
    <t>AVICOLA DOS LEONES S.A.C.</t>
  </si>
  <si>
    <t>01-E001-00000673</t>
  </si>
  <si>
    <t>01-E001-00000671</t>
  </si>
  <si>
    <t>01-E001-00000672</t>
  </si>
  <si>
    <t>01-FN01-00003001</t>
  </si>
  <si>
    <t>AVICOLA GRAN HUEVO S.A.C</t>
  </si>
  <si>
    <t>01-FN01-00003000</t>
  </si>
  <si>
    <t>01-FN01-00002305</t>
  </si>
  <si>
    <t>01-FN01-00002503</t>
  </si>
  <si>
    <t>01-FN01-00002839</t>
  </si>
  <si>
    <t>AVICOLA J.B. S.A.C.</t>
  </si>
  <si>
    <t>01-FN01-00001691</t>
  </si>
  <si>
    <t>01-FN01-00001687</t>
  </si>
  <si>
    <t>01-FN01-00002718</t>
  </si>
  <si>
    <t>01-FN01-00002928</t>
  </si>
  <si>
    <t>01-FN01-00002664</t>
  </si>
  <si>
    <t>AVICOLA LAGUNAS S.A.C.</t>
  </si>
  <si>
    <t>01-E001-00000667</t>
  </si>
  <si>
    <t>01-FN01-00002418</t>
  </si>
  <si>
    <t>01-FN01-00002976</t>
  </si>
  <si>
    <t>AVICOLA LAS PIEDRITAS S.A.C.</t>
  </si>
  <si>
    <t>01-E001-00000654</t>
  </si>
  <si>
    <t>01-FN01-00002736</t>
  </si>
  <si>
    <t>01-FN01-00002918</t>
  </si>
  <si>
    <t>01-FN01-00002810</t>
  </si>
  <si>
    <t>01-E001-00000702</t>
  </si>
  <si>
    <t>01-FN01-00002734</t>
  </si>
  <si>
    <t>01-E001-00000655</t>
  </si>
  <si>
    <t>01-FN01-00002888</t>
  </si>
  <si>
    <t>AVICOLA LOW PRICE E.I.R.L</t>
  </si>
  <si>
    <t>01-E001-00000680</t>
  </si>
  <si>
    <t>01-E001-00000679</t>
  </si>
  <si>
    <t>01-FN01-00003004</t>
  </si>
  <si>
    <t>01-FN01-00002782</t>
  </si>
  <si>
    <t>AVICOLA MOCHE S.A.C.</t>
  </si>
  <si>
    <t>01-FN01-00002274</t>
  </si>
  <si>
    <t>AVICOLA PADOVA S.A.C.</t>
  </si>
  <si>
    <t>01-FN01-00002796</t>
  </si>
  <si>
    <t>01-FN01-00002953</t>
  </si>
  <si>
    <t>01-E001-00000658</t>
  </si>
  <si>
    <t>AVICOLA SOFI E.I.R.L.</t>
  </si>
  <si>
    <t>01-FN01-00002518</t>
  </si>
  <si>
    <t>AVICOLA SUPER FRESQUITOS S.A.C.</t>
  </si>
  <si>
    <t>01-FN01-00002781</t>
  </si>
  <si>
    <t>AVICOLA TRUJILLO S.A.C.</t>
  </si>
  <si>
    <t>01-FN01-00002847</t>
  </si>
  <si>
    <t>01-FN01-00002854</t>
  </si>
  <si>
    <t>AVICOLA Y SERVICIOS SAN ANDRES PIURA S.A.C.</t>
  </si>
  <si>
    <t>01-FN01-00002732</t>
  </si>
  <si>
    <t>AVICOLA YUGOSLAVIA S.A.C.</t>
  </si>
  <si>
    <t>01-FN01-00002671</t>
  </si>
  <si>
    <t>01-FN01-00002773</t>
  </si>
  <si>
    <t>01-FN01-00002768</t>
  </si>
  <si>
    <t>01-FN01-00002783</t>
  </si>
  <si>
    <t>01-FN01-00002917</t>
  </si>
  <si>
    <t>01-FN01-00002495</t>
  </si>
  <si>
    <t>01-FN01-00002571</t>
  </si>
  <si>
    <t>01-FN01-00002729</t>
  </si>
  <si>
    <t>01-FN01-00002572</t>
  </si>
  <si>
    <t>01-FN01-00002945</t>
  </si>
  <si>
    <t>01-FN01-00002219</t>
  </si>
  <si>
    <t>AVIPECUARIA LANFER E.I.R.L.</t>
  </si>
  <si>
    <t>01-FN01-00002771</t>
  </si>
  <si>
    <t>01-FN01-00002700</t>
  </si>
  <si>
    <t>01-FN01-00002694</t>
  </si>
  <si>
    <t>AVIPECUARIA VAJU E.I.R.L.</t>
  </si>
  <si>
    <t>01-E001-00000541</t>
  </si>
  <si>
    <t>01-FN01-00002772</t>
  </si>
  <si>
    <t>01-FN01-00002967</t>
  </si>
  <si>
    <t>AVIVEL SAC</t>
  </si>
  <si>
    <t>01-FN01-00002940</t>
  </si>
  <si>
    <t>01-FN01-00002975</t>
  </si>
  <si>
    <t>BIO SAFE S.A.C.</t>
  </si>
  <si>
    <t>01-FN01-00001564</t>
  </si>
  <si>
    <t>01-FN01-00001660</t>
  </si>
  <si>
    <t>03-BN01-00000176</t>
  </si>
  <si>
    <t>BOZA ESPINOZA JUAN DAVID</t>
  </si>
  <si>
    <t>03-BN01-00000194</t>
  </si>
  <si>
    <t>CARRASCO HANCO FRANCISCA</t>
  </si>
  <si>
    <t>03-BN01-00000205</t>
  </si>
  <si>
    <t>01-FN01-00002686</t>
  </si>
  <si>
    <t>CENTRAL AGROPECUARIA EL MOLINO S.A.C.</t>
  </si>
  <si>
    <t>01-FN01-00002956</t>
  </si>
  <si>
    <t>CERDOS SUR PERÚ S.A. - CERSUR S.A.</t>
  </si>
  <si>
    <t>01-FN01-00002766</t>
  </si>
  <si>
    <t>01-E001-00000580</t>
  </si>
  <si>
    <t>CHIMU AGROPECUARIA S.A.</t>
  </si>
  <si>
    <t>01-FN01-00002207</t>
  </si>
  <si>
    <t>01-FN01-00002481</t>
  </si>
  <si>
    <t>01-FN01-00001846</t>
  </si>
  <si>
    <t>01-FN01-00001847</t>
  </si>
  <si>
    <t>01-FN01-00002798</t>
  </si>
  <si>
    <t>01-FN01-00001889</t>
  </si>
  <si>
    <t>01-FN01-00002915</t>
  </si>
  <si>
    <t>01-FN01-00002914</t>
  </si>
  <si>
    <t>01-FN01-00002167</t>
  </si>
  <si>
    <t>01-FN01-00001968</t>
  </si>
  <si>
    <t>01-FN01-00002073</t>
  </si>
  <si>
    <t>01-FN01-00002568</t>
  </si>
  <si>
    <t>01-FN01-00001969</t>
  </si>
  <si>
    <t>01-FN01-00002264</t>
  </si>
  <si>
    <t>01-FN01-00001813</t>
  </si>
  <si>
    <t>01-FN01-00002338</t>
  </si>
  <si>
    <t>01-FN01-00002697</t>
  </si>
  <si>
    <t>COAGROVET E.I.R.L.</t>
  </si>
  <si>
    <t>01-FN01-00002851</t>
  </si>
  <si>
    <t>COBB PERU (ANDINA) S.A.C.</t>
  </si>
  <si>
    <t>01-FN01-00002980</t>
  </si>
  <si>
    <t>01-FN01-00002803</t>
  </si>
  <si>
    <t>COMERCIALIZADORA Y DISTRIBUIDORA DCARLO E.I.R.L.</t>
  </si>
  <si>
    <t>01-FN05-00000143</t>
  </si>
  <si>
    <t>01-FN05-00000167</t>
  </si>
  <si>
    <t>01-E001-00000699</t>
  </si>
  <si>
    <t>01-FN01-00003024</t>
  </si>
  <si>
    <t>01-FN01-00002381</t>
  </si>
  <si>
    <t>CORPORACION AGROVETERINARIA DANYEL Y ASOCIADOS S.A.C.</t>
  </si>
  <si>
    <t>01-FN01-00002415</t>
  </si>
  <si>
    <t>01-E001-00000710</t>
  </si>
  <si>
    <t>CORPORACION AYGUT S.A.</t>
  </si>
  <si>
    <t>01-FN01-00002977</t>
  </si>
  <si>
    <t>CORPORACION CASUL S.A.C.</t>
  </si>
  <si>
    <t>01-E001-00000642</t>
  </si>
  <si>
    <t>CORPORACION OROPEZA E.I.R.L.</t>
  </si>
  <si>
    <t>01-FN01-00002306</t>
  </si>
  <si>
    <t>CORPORACION RICO S.A.C.</t>
  </si>
  <si>
    <t>01-E001-00000615</t>
  </si>
  <si>
    <t>01-FN01-00002552</t>
  </si>
  <si>
    <t>01-FN01-00002553</t>
  </si>
  <si>
    <t>01-FN01-00001918</t>
  </si>
  <si>
    <t>01-FN01-00002365</t>
  </si>
  <si>
    <t>01-FN01-00002472</t>
  </si>
  <si>
    <t>01-E001-00000626</t>
  </si>
  <si>
    <t>01-E001-00000627</t>
  </si>
  <si>
    <t>01-E001-00000633</t>
  </si>
  <si>
    <t>01-FN01-00002171</t>
  </si>
  <si>
    <t>01-E001-00000575</t>
  </si>
  <si>
    <t>01-FN01-00002815</t>
  </si>
  <si>
    <t>01-FN01-00002814</t>
  </si>
  <si>
    <t>01-FN01-00002942</t>
  </si>
  <si>
    <t>01-FN01-00003018</t>
  </si>
  <si>
    <t>01-FN01-00003027</t>
  </si>
  <si>
    <t>01-FN01-00003028</t>
  </si>
  <si>
    <t>01-FN01-00002813</t>
  </si>
  <si>
    <t>01-E001-00000653</t>
  </si>
  <si>
    <t>01-FN01-00002754</t>
  </si>
  <si>
    <t>01-FN01-00002753</t>
  </si>
  <si>
    <t>01-FN01-00002752</t>
  </si>
  <si>
    <t>01-FN01-00002738</t>
  </si>
  <si>
    <t>01-FN01-00002733</t>
  </si>
  <si>
    <t>01-FN01-00002562</t>
  </si>
  <si>
    <t>01-FN01-00002560</t>
  </si>
  <si>
    <t>01-E001-00000571</t>
  </si>
  <si>
    <t>01-FN01-00003026</t>
  </si>
  <si>
    <t>01-E001-00000589</t>
  </si>
  <si>
    <t>01-FN01-00002615</t>
  </si>
  <si>
    <t>01-FN01-00002561</t>
  </si>
  <si>
    <t>01-FN01-00002163</t>
  </si>
  <si>
    <t>01-E001-00000659</t>
  </si>
  <si>
    <t>DISTRIBUCIONES Y ALIMENTOS BALANCEADOS J CARRASCO Y BLANCA LUZ S.A.C.</t>
  </si>
  <si>
    <t>01-FN01-00002154</t>
  </si>
  <si>
    <t>DISTRIBUIDORA RUSBELIA E.I.R.L.</t>
  </si>
  <si>
    <t>01-FN01-00002153</t>
  </si>
  <si>
    <t>01-FN01-00002737</t>
  </si>
  <si>
    <t>DON GOYO S.A.</t>
  </si>
  <si>
    <t>01-FN01-00002452</t>
  </si>
  <si>
    <t>01-FN01-00002437</t>
  </si>
  <si>
    <t>DON POLLO LA LIBERTAD SAC</t>
  </si>
  <si>
    <t>01-FN01-00002239</t>
  </si>
  <si>
    <t>01-FN01-00002238</t>
  </si>
  <si>
    <t>01-FN01-00002831</t>
  </si>
  <si>
    <t>01-FN01-00002237</t>
  </si>
  <si>
    <t>01-FN01-00002257</t>
  </si>
  <si>
    <t>01-FN01-00002348</t>
  </si>
  <si>
    <t>01-FN01-00002474</t>
  </si>
  <si>
    <t>01-FN01-00002354</t>
  </si>
  <si>
    <t>DON POLLO LORETO S.A.C.</t>
  </si>
  <si>
    <t>01-FN01-00002335</t>
  </si>
  <si>
    <t>01-FN01-00002438</t>
  </si>
  <si>
    <t>01-FN01-00002334</t>
  </si>
  <si>
    <t>01-FN01-00002285</t>
  </si>
  <si>
    <t>DON POLLO TROPICAL S.A.C.</t>
  </si>
  <si>
    <t>01-FN01-00002344</t>
  </si>
  <si>
    <t>01-FN01-00002343</t>
  </si>
  <si>
    <t>01-FN01-00002488</t>
  </si>
  <si>
    <t>01-FN01-00002436</t>
  </si>
  <si>
    <t>01-FN01-00002359</t>
  </si>
  <si>
    <t>EL COMEDERO S.R.L.</t>
  </si>
  <si>
    <t>01-FN01-00002588</t>
  </si>
  <si>
    <t>EL OLAM E.I.R.L.</t>
  </si>
  <si>
    <t>01-E001-00000684</t>
  </si>
  <si>
    <t>EL ROCIO S.A.</t>
  </si>
  <si>
    <t>01-FN01-00002853</t>
  </si>
  <si>
    <t>01-FN05-00000032</t>
  </si>
  <si>
    <t>01-FN01-00002502</t>
  </si>
  <si>
    <t>EPOXY PERU S.A.C.</t>
  </si>
  <si>
    <t>01-FN01-00002916</t>
  </si>
  <si>
    <t>01-E001-00000648</t>
  </si>
  <si>
    <t>FLORIAN LESCANO MODESTO MARCELINO</t>
  </si>
  <si>
    <t>01-E001-00000677</t>
  </si>
  <si>
    <t>FUMINSUMOS S.R.L.</t>
  </si>
  <si>
    <t>01-FN01-00002358</t>
  </si>
  <si>
    <t>01-FN01-00002312</t>
  </si>
  <si>
    <t>01-FN01-00002544</t>
  </si>
  <si>
    <t>01-FN01-00002944</t>
  </si>
  <si>
    <t>01-FN01-00002687</t>
  </si>
  <si>
    <t>FUNDO AMERICA SAC.</t>
  </si>
  <si>
    <t>01-FN01-00002911</t>
  </si>
  <si>
    <t>FUNDO PECUARIA RICO PIGS S.A.C.</t>
  </si>
  <si>
    <t>01-FN01-00001896</t>
  </si>
  <si>
    <t>01-FN01-00001894</t>
  </si>
  <si>
    <t>01-FN01-00001875</t>
  </si>
  <si>
    <t>01-FN01-00001987</t>
  </si>
  <si>
    <t>01-FN01-00001958</t>
  </si>
  <si>
    <t>01-FN01-00001873</t>
  </si>
  <si>
    <t>01-FN01-00001849</t>
  </si>
  <si>
    <t>01-FN01-00001983</t>
  </si>
  <si>
    <t>01-FN01-00001939</t>
  </si>
  <si>
    <t>01-FN01-00001799</t>
  </si>
  <si>
    <t>01-FN01-00001431</t>
  </si>
  <si>
    <t>01-FN01-00001688</t>
  </si>
  <si>
    <t>01-FN01-00001635</t>
  </si>
  <si>
    <t>01-FN01-00001620</t>
  </si>
  <si>
    <t>01-FN01-00001448</t>
  </si>
  <si>
    <t>01-FN01-00001436</t>
  </si>
  <si>
    <t>01-FN01-00002922</t>
  </si>
  <si>
    <t>G &amp; H SERVICIOS INDUSTRIALES S.A.C.</t>
  </si>
  <si>
    <t>01-FN01-00002775</t>
  </si>
  <si>
    <t>01-E001-00000692</t>
  </si>
  <si>
    <t>01-E001-00000693</t>
  </si>
  <si>
    <t>01-FN01-00002891</t>
  </si>
  <si>
    <t>01-E001-00000666</t>
  </si>
  <si>
    <t>01-E001-00000668</t>
  </si>
  <si>
    <t>01-F001-00019988</t>
  </si>
  <si>
    <t>03-BN01-00000178</t>
  </si>
  <si>
    <t>GARCIA CALDERON ,MILWAR NOEL</t>
  </si>
  <si>
    <t>03-BN01-00000179</t>
  </si>
  <si>
    <t>01-FN01-00002852</t>
  </si>
  <si>
    <t>GENETICA ANIMAL S.A.</t>
  </si>
  <si>
    <t>01-FN01-00002178</t>
  </si>
  <si>
    <t>GRANJA AVICOLA LA YEMA S.A.C.</t>
  </si>
  <si>
    <t>428-2019</t>
  </si>
  <si>
    <t>GRANJA AVICOLA LUCILA E.I.R.L.</t>
  </si>
  <si>
    <t>429-2019</t>
  </si>
  <si>
    <t>01-FN01-00002692</t>
  </si>
  <si>
    <t>01-FN01-00002182</t>
  </si>
  <si>
    <t>01-FN01-00002913</t>
  </si>
  <si>
    <t>01-FN01-00002723</t>
  </si>
  <si>
    <t>01-FN01-00002310</t>
  </si>
  <si>
    <t>01-FN01-00003033</t>
  </si>
  <si>
    <t>01-FN01-00003007</t>
  </si>
  <si>
    <t>01-FN01-00002957</t>
  </si>
  <si>
    <t>01-FN01-00002923</t>
  </si>
  <si>
    <t>01-FN01-00002835</t>
  </si>
  <si>
    <t>01-FN01-00002820</t>
  </si>
  <si>
    <t>01-FN01-00002583</t>
  </si>
  <si>
    <t>01-FN01-00002411</t>
  </si>
  <si>
    <t>01-FN01-00002883</t>
  </si>
  <si>
    <t>01-FN01-00003023</t>
  </si>
  <si>
    <t>GRANJA AVICOLA VANIA E.I.R.L.</t>
  </si>
  <si>
    <t>01-E001-00000685</t>
  </si>
  <si>
    <t>01-E001-00000715</t>
  </si>
  <si>
    <t>01-FN01-00002584</t>
  </si>
  <si>
    <t>GRANJA HUERTO SAN MARTIN DE PORRES SAC</t>
  </si>
  <si>
    <t>01-FN01-00002751</t>
  </si>
  <si>
    <t>01-FN01-00002614</t>
  </si>
  <si>
    <t>01-FN01-00002347</t>
  </si>
  <si>
    <t>01-FN01-00002542</t>
  </si>
  <si>
    <t>01-FN01-00002363</t>
  </si>
  <si>
    <t>01-FN01-00003016</t>
  </si>
  <si>
    <t>GRANJA LAS ISLAS E.I.R.L.</t>
  </si>
  <si>
    <t>01-E001-00000696</t>
  </si>
  <si>
    <t>GRANJA LOS HUARANGOS SA</t>
  </si>
  <si>
    <t>01-E001-00000695</t>
  </si>
  <si>
    <t>01-FN01-00002805</t>
  </si>
  <si>
    <t>01-FN01-00002804</t>
  </si>
  <si>
    <t>01-FN01-00003014</t>
  </si>
  <si>
    <t>GRANJA PUKA HUALLPA S.R.L.</t>
  </si>
  <si>
    <t>01-FN01-00002678</t>
  </si>
  <si>
    <t>GRANJAS AMAZONICAS S.A.C</t>
  </si>
  <si>
    <t>01-FN01-00002679</t>
  </si>
  <si>
    <t>01-E001-00000676</t>
  </si>
  <si>
    <t>01-FN01-00002823</t>
  </si>
  <si>
    <t>01-FN01-00002873</t>
  </si>
  <si>
    <t>GRANJAS ORIHUELA S.A.C.</t>
  </si>
  <si>
    <t>01-FN01-00002881</t>
  </si>
  <si>
    <t>GRAVISO S.A.C.</t>
  </si>
  <si>
    <t>01-FN01-00002816</t>
  </si>
  <si>
    <t>GRUPO ISAMISA S.A.C.</t>
  </si>
  <si>
    <t>01-FN01-00002807</t>
  </si>
  <si>
    <t>01-E001-00000712</t>
  </si>
  <si>
    <t>GRUPO MILKAM S.A.C.</t>
  </si>
  <si>
    <t>01-E001-00000713</t>
  </si>
  <si>
    <t>01-FN01-00002161</t>
  </si>
  <si>
    <t>01-FN01-00002169</t>
  </si>
  <si>
    <t>01-FN01-00002211</t>
  </si>
  <si>
    <t>01-E001-00000512</t>
  </si>
  <si>
    <t>01-FN01-00002490</t>
  </si>
  <si>
    <t>01-FN01-00001485</t>
  </si>
  <si>
    <t>01-FN01-00001883</t>
  </si>
  <si>
    <t>01-FN01-00001880</t>
  </si>
  <si>
    <t>01-FN01-00002932</t>
  </si>
  <si>
    <t>01-FN01-00001509</t>
  </si>
  <si>
    <t>01-FN01-00003002</t>
  </si>
  <si>
    <t>01-FN01-00002349</t>
  </si>
  <si>
    <t>01-FN01-00002290</t>
  </si>
  <si>
    <t>01-FN01-00001720</t>
  </si>
  <si>
    <t>01-FN01-00001449</t>
  </si>
  <si>
    <t>01-FN01-00002454</t>
  </si>
  <si>
    <t>01-FN01-00002455</t>
  </si>
  <si>
    <t>01-FN01-00001707</t>
  </si>
  <si>
    <t>01-FN01-00001689</t>
  </si>
  <si>
    <t>01-FN01-00001500</t>
  </si>
  <si>
    <t>01-FN01-00002573</t>
  </si>
  <si>
    <t>01-FN01-00002267</t>
  </si>
  <si>
    <t>INCUBADORA SANTA SOFIA S.A.C.</t>
  </si>
  <si>
    <t>01-FN01-00001902</t>
  </si>
  <si>
    <t>01-FN01-00002120</t>
  </si>
  <si>
    <t>01-FN01-00001750</t>
  </si>
  <si>
    <t>INDUSTRIA ALIMENTARIA TITO S.A.C.</t>
  </si>
  <si>
    <t>01-FN01-00002731</t>
  </si>
  <si>
    <t>INDUSTRIA AVICOLA CAYO S.A.C.</t>
  </si>
  <si>
    <t>01-FN01-00002524</t>
  </si>
  <si>
    <t>INFANTE MONTAÑEZ ENMA GUDELIA</t>
  </si>
  <si>
    <t>01-FN01-00002840</t>
  </si>
  <si>
    <t>INTEGRACION AMALIA SOCIEDAD ANONIMA CERRADA - INTEGRACION AMALIA S.A.C.</t>
  </si>
  <si>
    <t>01-FN01-00002401</t>
  </si>
  <si>
    <t>01-FN01-00002589</t>
  </si>
  <si>
    <t>01-E001-00000661</t>
  </si>
  <si>
    <t>INTEGRACION LDCH S.A.C.</t>
  </si>
  <si>
    <t>01-FN01-00002402</t>
  </si>
  <si>
    <t>INTEGRACION LUZ S.C.R.L.</t>
  </si>
  <si>
    <t>01-FN01-00002643</t>
  </si>
  <si>
    <t>01-FN01-00002868</t>
  </si>
  <si>
    <t>01-FN01-00002656</t>
  </si>
  <si>
    <t>01-FN01-00002809</t>
  </si>
  <si>
    <t>01-FN01-00001871</t>
  </si>
  <si>
    <t>01-FN01-00002176</t>
  </si>
  <si>
    <t>01-FN01-00002357</t>
  </si>
  <si>
    <t>01-FN01-00002623</t>
  </si>
  <si>
    <t>INVERAGRO SAN MARTIN DE PORRAS S.A.C.</t>
  </si>
  <si>
    <t>01-FN01-00002749</t>
  </si>
  <si>
    <t>01-FN01-00002371</t>
  </si>
  <si>
    <t>INVERSIONES &amp; REPRESENTACIONES GASUR E.I.R.L.</t>
  </si>
  <si>
    <t>01-FN01-00002012</t>
  </si>
  <si>
    <t>01-FN01-00002905</t>
  </si>
  <si>
    <t>01-FN01-00002659</t>
  </si>
  <si>
    <t>INVERSIONES AGROINDUSTRIALES ANCALU S.A.C.</t>
  </si>
  <si>
    <t>01-FN01-00002778</t>
  </si>
  <si>
    <t>01-FN01-00002887</t>
  </si>
  <si>
    <t>01-FN01-00002897</t>
  </si>
  <si>
    <t>01-E001-00000578</t>
  </si>
  <si>
    <t>01-FN01-00002532</t>
  </si>
  <si>
    <t>01-FN01-00002987</t>
  </si>
  <si>
    <t>01-FN01-00002988</t>
  </si>
  <si>
    <t>01-E001-00000675</t>
  </si>
  <si>
    <t>01-FN01-00002408</t>
  </si>
  <si>
    <t>01-E001-00000523</t>
  </si>
  <si>
    <t>01-FN01-00002341</t>
  </si>
  <si>
    <t>01-FN01-00002505</t>
  </si>
  <si>
    <t>01-E001-00000643</t>
  </si>
  <si>
    <t>01-FN01-00002374</t>
  </si>
  <si>
    <t>01-FN01-00002755</t>
  </si>
  <si>
    <t>01-FN01-00002563</t>
  </si>
  <si>
    <t>01-FN01-00002373</t>
  </si>
  <si>
    <t>01-FN01-00002788</t>
  </si>
  <si>
    <t>INVERSIONES COCOROCO E.I.R.L.</t>
  </si>
  <si>
    <t>01-E001-00000662</t>
  </si>
  <si>
    <t>01-FN01-00002444</t>
  </si>
  <si>
    <t>01-FN01-00003029</t>
  </si>
  <si>
    <t>01-FN01-00001510</t>
  </si>
  <si>
    <t>INVERSIONES D´CAFIO S.A.C</t>
  </si>
  <si>
    <t>01-FN01-00002834</t>
  </si>
  <si>
    <t>01-E001-00000601</t>
  </si>
  <si>
    <t>01-FN01-00002949</t>
  </si>
  <si>
    <t>01-FN01-00003020</t>
  </si>
  <si>
    <t>01-FN01-00002263</t>
  </si>
  <si>
    <t>01-FN01-00002093</t>
  </si>
  <si>
    <t>01-FN01-00002416</t>
  </si>
  <si>
    <t>01-FN01-00002507</t>
  </si>
  <si>
    <t>01-FN01-00002158</t>
  </si>
  <si>
    <t>01-FN01-00002511</t>
  </si>
  <si>
    <t>01-FN01-00002642</t>
  </si>
  <si>
    <t>01-FN01-00001955</t>
  </si>
  <si>
    <t>01-FN01-00002712</t>
  </si>
  <si>
    <t>01-FN01-00002329</t>
  </si>
  <si>
    <t>01-FN01-00002247</t>
  </si>
  <si>
    <t>01-E001-00000701</t>
  </si>
  <si>
    <t>INVERSIONES Y NEGOCIACIONES PLUMIFERO E.I.R.L.</t>
  </si>
  <si>
    <t>01-FN01-00002818</t>
  </si>
  <si>
    <t>01-FN01-00002912</t>
  </si>
  <si>
    <t>01-FN01-00002713</t>
  </si>
  <si>
    <t>01-FN01-00002937</t>
  </si>
  <si>
    <t>INVET PERU E.I.R.L.</t>
  </si>
  <si>
    <t>01-FN01-00002556</t>
  </si>
  <si>
    <t>01-FN01-00002971</t>
  </si>
  <si>
    <t>01-FN01-00002880</t>
  </si>
  <si>
    <t>01-FN01-00002663</t>
  </si>
  <si>
    <t>01-FN01-00003039</t>
  </si>
  <si>
    <t>JEHOVA SHALOM SOCIEDAD ANONIMA CERRADA</t>
  </si>
  <si>
    <t>01-FN01-00002669</t>
  </si>
  <si>
    <t>LA GRANJA SERVICIOS VETERINARIOS E.I.R.L.</t>
  </si>
  <si>
    <t>01-FN01-00002478</t>
  </si>
  <si>
    <t>01-FN01-00002392</t>
  </si>
  <si>
    <t>LACTEA S.A</t>
  </si>
  <si>
    <t>03-EB01-00000047</t>
  </si>
  <si>
    <t>LAURENTE CACERES,MARIVEL</t>
  </si>
  <si>
    <t>01-FN01-00002056</t>
  </si>
  <si>
    <t>LLAMOCCA HUAMANI TITO</t>
  </si>
  <si>
    <t>01-FN05-00000140</t>
  </si>
  <si>
    <t>01-FN01-00002378</t>
  </si>
  <si>
    <t>01-FN01-00002673</t>
  </si>
  <si>
    <t>01-FN05-00000133</t>
  </si>
  <si>
    <t>01-FN01-00002616</t>
  </si>
  <si>
    <t>01-FN05-00000130</t>
  </si>
  <si>
    <t>01-FN05-00000132</t>
  </si>
  <si>
    <t>01-E001-00000607</t>
  </si>
  <si>
    <t>01-FN05-00000134</t>
  </si>
  <si>
    <t>01-FN01-00002636</t>
  </si>
  <si>
    <t>01-FN01-00002757</t>
  </si>
  <si>
    <t>01-FN05-00000135</t>
  </si>
  <si>
    <t>01-FN01-00002720</t>
  </si>
  <si>
    <t>01-FN01-00002743</t>
  </si>
  <si>
    <t>01-FN05-00000121</t>
  </si>
  <si>
    <t>01-FN05-00000120</t>
  </si>
  <si>
    <t>01-FN05-00000119</t>
  </si>
  <si>
    <t>01-FN01-00002801</t>
  </si>
  <si>
    <t>01-E001-00000707</t>
  </si>
  <si>
    <t>01-FN01-00002981</t>
  </si>
  <si>
    <t>01-FN01-00002855</t>
  </si>
  <si>
    <t>01-FN05-00000161</t>
  </si>
  <si>
    <t>01-FN05-00000159</t>
  </si>
  <si>
    <t>01-FN05-00000158</t>
  </si>
  <si>
    <t>01-FN05-00000157</t>
  </si>
  <si>
    <t>01-FN05-00000155</t>
  </si>
  <si>
    <t>01-FN05-00000154</t>
  </si>
  <si>
    <t>01-FN05-00000153</t>
  </si>
  <si>
    <t>01-FN05-00000152</t>
  </si>
  <si>
    <t>01-FN05-00000151</t>
  </si>
  <si>
    <t>01-FN05-00000150</t>
  </si>
  <si>
    <t>01-FN05-00000149</t>
  </si>
  <si>
    <t>01-FN05-00000148</t>
  </si>
  <si>
    <t>01-FN05-00000147</t>
  </si>
  <si>
    <t>01-FN05-00000131</t>
  </si>
  <si>
    <t>01-FN05-00000160</t>
  </si>
  <si>
    <t>01-FN05-00000156</t>
  </si>
  <si>
    <t>01-FN05-00000129</t>
  </si>
  <si>
    <t>01-FN01-00002711</t>
  </si>
  <si>
    <t>01-FN05-00000128</t>
  </si>
  <si>
    <t>01-FN05-00000127</t>
  </si>
  <si>
    <t>01-FN05-00000126</t>
  </si>
  <si>
    <t>01-FN05-00000125</t>
  </si>
  <si>
    <t>01-FN05-00000124</t>
  </si>
  <si>
    <t>01-FN05-00000123</t>
  </si>
  <si>
    <t>01-FN05-00000122</t>
  </si>
  <si>
    <t>01-FN01-00002190</t>
  </si>
  <si>
    <t>01-FN01-00002850</t>
  </si>
  <si>
    <t>03-BN01-00000199</t>
  </si>
  <si>
    <t>LUNA PEVE BRAULIA</t>
  </si>
  <si>
    <t>03-EB01-00000043</t>
  </si>
  <si>
    <t>MALCA VASQUEZ ,JORGE LUIS</t>
  </si>
  <si>
    <t>03-EB01-00000045</t>
  </si>
  <si>
    <t>03-BN01-00000138</t>
  </si>
  <si>
    <t>MANRIQUE SALDAÑA,HERBERT</t>
  </si>
  <si>
    <t>03-BN01-00000217</t>
  </si>
  <si>
    <t>MASCO MAYTA,HAYDEE LUZ</t>
  </si>
  <si>
    <t>03-BN01-00000208</t>
  </si>
  <si>
    <t>03-BN01-00000209</t>
  </si>
  <si>
    <t>01-E001-00000657</t>
  </si>
  <si>
    <t>MASHCO HUERTA JUAN CARLOS</t>
  </si>
  <si>
    <t>01-FN01-00002181</t>
  </si>
  <si>
    <t>01-FN01-00002545</t>
  </si>
  <si>
    <t>01-FN01-00002633</t>
  </si>
  <si>
    <t>01-E001-00000691</t>
  </si>
  <si>
    <t>MOLINERA GOOD NUTRITION S.A.C.</t>
  </si>
  <si>
    <t>01-FN01-00002901</t>
  </si>
  <si>
    <t>01-FN01-00002774</t>
  </si>
  <si>
    <t>01-FN01-00002776</t>
  </si>
  <si>
    <t>MOLINO LA PERLA S.A.C.</t>
  </si>
  <si>
    <t>01-FN01-00002842</t>
  </si>
  <si>
    <t>01-FN01-00002879</t>
  </si>
  <si>
    <t>01-FN01-00002973</t>
  </si>
  <si>
    <t>01-FN01-00002972</t>
  </si>
  <si>
    <t>01-FN01-00002969</t>
  </si>
  <si>
    <t>01-FN01-00002907</t>
  </si>
  <si>
    <t>MOLINORTE S.A.C.</t>
  </si>
  <si>
    <t>01-FN01-00002958</t>
  </si>
  <si>
    <t>MOLISERVICE EL CHOTANO E.I.R.L.</t>
  </si>
  <si>
    <t>01-FN01-00002959</t>
  </si>
  <si>
    <t>01-FN01-00002195</t>
  </si>
  <si>
    <t>MONTANA S A</t>
  </si>
  <si>
    <t>01-FN01-00002213</t>
  </si>
  <si>
    <t>01-FN01-00003011</t>
  </si>
  <si>
    <t>01-FN01-00002997</t>
  </si>
  <si>
    <t>MULTICARNES ANTONIO ICA S.R.L.</t>
  </si>
  <si>
    <t>01-FN01-00002695</t>
  </si>
  <si>
    <t>01-FN01-00002793</t>
  </si>
  <si>
    <t>01-FN01-00002870</t>
  </si>
  <si>
    <t>MULTIGRANJAS SERLAN S.A.C.</t>
  </si>
  <si>
    <t>01-FN01-00002530</t>
  </si>
  <si>
    <t>01-FN01-00002872</t>
  </si>
  <si>
    <t>01-FN01-00002739</t>
  </si>
  <si>
    <t>01-FN01-00002626</t>
  </si>
  <si>
    <t>01-FN01-00002473</t>
  </si>
  <si>
    <t>01-FN01-00002938</t>
  </si>
  <si>
    <t>01-FN01-00002874</t>
  </si>
  <si>
    <t>NEGOCIACION AVICOLA BEATA MELCHORITA S.R.L.</t>
  </si>
  <si>
    <t>01-E001-00000682</t>
  </si>
  <si>
    <t>628-2019</t>
  </si>
  <si>
    <t>01-FN01-00003009</t>
  </si>
  <si>
    <t>NOVAFARMA S.A.C.</t>
  </si>
  <si>
    <t>01-FN01-00002631</t>
  </si>
  <si>
    <t>01-FN01-00002632</t>
  </si>
  <si>
    <t>01-FN01-00002149</t>
  </si>
  <si>
    <t>NOVAT QUIMICA S.A.C.</t>
  </si>
  <si>
    <t>01-E001-00000645</t>
  </si>
  <si>
    <t>NUTRIPRODUCTOS SANTA ANA S.A.C.</t>
  </si>
  <si>
    <t>01-E001-00000608</t>
  </si>
  <si>
    <t>01-FN01-00002701</t>
  </si>
  <si>
    <t>01-E001-00000646</t>
  </si>
  <si>
    <t>01-FN01-00002968</t>
  </si>
  <si>
    <t>01-FN01-00002331</t>
  </si>
  <si>
    <t>01-FN01-00002934</t>
  </si>
  <si>
    <t>649-2018</t>
  </si>
  <si>
    <t>01-E001-00000652</t>
  </si>
  <si>
    <t>NUTRISERVICIOS LUAVET E.I.R.L.</t>
  </si>
  <si>
    <t>01-FN01-00002078</t>
  </si>
  <si>
    <t>NUTRISERVICIOS PECUARIOS MATSANTI E.I.R.L.</t>
  </si>
  <si>
    <t>01-FN01-00002079</t>
  </si>
  <si>
    <t>01-FN01-00001612</t>
  </si>
  <si>
    <t>01-FN01-00002084</t>
  </si>
  <si>
    <t>01-E001-00000705</t>
  </si>
  <si>
    <t>OVOFRES S.A.C.</t>
  </si>
  <si>
    <t>01-E001-00000528</t>
  </si>
  <si>
    <t>PALOMINO CHAMPI AMANDA NOEMI</t>
  </si>
  <si>
    <t>01-E001-00000529</t>
  </si>
  <si>
    <t>01-E001-00000717</t>
  </si>
  <si>
    <t>01-E001-00000574</t>
  </si>
  <si>
    <t>01-E001-00000674</t>
  </si>
  <si>
    <t>01-FN01-00002780</t>
  </si>
  <si>
    <t>01-FN01-00002933</t>
  </si>
  <si>
    <t>01-FN01-00002165</t>
  </si>
  <si>
    <t>PEREZ TTITO WILFREDO</t>
  </si>
  <si>
    <t>01-FN01-00002151</t>
  </si>
  <si>
    <t>01-FN01-00002152</t>
  </si>
  <si>
    <t>01-FN01-00001936</t>
  </si>
  <si>
    <t>01-FN01-00002197</t>
  </si>
  <si>
    <t>01-FN01-00002564</t>
  </si>
  <si>
    <t>01-FN01-00002194</t>
  </si>
  <si>
    <t>01-FN01-00002984</t>
  </si>
  <si>
    <t>01-FN05-00000168</t>
  </si>
  <si>
    <t>PESCADOS Y CEFALOPODOS DEL PERU SOCIEDAD ANONIMA CERRADA</t>
  </si>
  <si>
    <t>01-FN01-00002946</t>
  </si>
  <si>
    <t>01-E001-00000703</t>
  </si>
  <si>
    <t>01-FN01-00002947</t>
  </si>
  <si>
    <t>01-FN01-00002399</t>
  </si>
  <si>
    <t>01-FN01-00002721</t>
  </si>
  <si>
    <t>01-FN01-00002484</t>
  </si>
  <si>
    <t>01-FN01-00002676</t>
  </si>
  <si>
    <t>01-FN01-00003010</t>
  </si>
  <si>
    <t>PRO-PREMIX NUTRICION S.R.L.</t>
  </si>
  <si>
    <t>01-FN01-00002747</t>
  </si>
  <si>
    <t>01-E001-00000610</t>
  </si>
  <si>
    <t>01-FN01-00002599</t>
  </si>
  <si>
    <t>01-FN01-00002893</t>
  </si>
  <si>
    <t>PRODUCTOS AVICOLAS CHICAMA S.A.C.</t>
  </si>
  <si>
    <t>01-FN01-00002629</t>
  </si>
  <si>
    <t>01-FN01-00002895</t>
  </si>
  <si>
    <t>01-FN01-00002906</t>
  </si>
  <si>
    <t>PROTEIN GROUP S.A.C.</t>
  </si>
  <si>
    <t>01-FN01-00002492</t>
  </si>
  <si>
    <t>01-FN01-00002620</t>
  </si>
  <si>
    <t>R &amp; R NATURAL E.I.R.L.</t>
  </si>
  <si>
    <t>01-FN01-00002477</t>
  </si>
  <si>
    <t>01-FN01-00002059</t>
  </si>
  <si>
    <t>01-FN01-00002943</t>
  </si>
  <si>
    <t>R &amp; R SAN ISIDRO S.A.C</t>
  </si>
  <si>
    <t>01-FN01-00002688</t>
  </si>
  <si>
    <t>RECRIAS AMERICA S.A.C.</t>
  </si>
  <si>
    <t>01-FN01-00001915</t>
  </si>
  <si>
    <t>01-E001-00000586</t>
  </si>
  <si>
    <t>REDONDOS S A</t>
  </si>
  <si>
    <t>01-E001-00000591</t>
  </si>
  <si>
    <t>01-E001-00000694</t>
  </si>
  <si>
    <t>01-E001-00000688</t>
  </si>
  <si>
    <t>01-FN01-00002597</t>
  </si>
  <si>
    <t>01-E001-00000698</t>
  </si>
  <si>
    <t>01-FN01-00002596</t>
  </si>
  <si>
    <t>01-FN01-00002761</t>
  </si>
  <si>
    <t>01-FN01-00002653</t>
  </si>
  <si>
    <t>01-FN01-00002384</t>
  </si>
  <si>
    <t>01-FN01-00002451</t>
  </si>
  <si>
    <t>01-FN01-00002440</t>
  </si>
  <si>
    <t>01-FN01-00002765</t>
  </si>
  <si>
    <t>01-FN01-00002699</t>
  </si>
  <si>
    <t>01-E001-00000583</t>
  </si>
  <si>
    <t>01-FN01-00002863</t>
  </si>
  <si>
    <t>01-FN01-00002849</t>
  </si>
  <si>
    <t>REPRODUCTORAS ROMA S.A.C.</t>
  </si>
  <si>
    <t>01-FN01-00002978</t>
  </si>
  <si>
    <t>03-BN01-00000121</t>
  </si>
  <si>
    <t>03-BN01-00000122</t>
  </si>
  <si>
    <t>01-FN01-00002045</t>
  </si>
  <si>
    <t>S &amp; J INVERSIONES THALCAR S.A.C.</t>
  </si>
  <si>
    <t>01-FN01-00002672</t>
  </si>
  <si>
    <t>SAKIHARA SAKIHARA DE TOMAYA CECILIA HATS</t>
  </si>
  <si>
    <t>01-FN01-00001919</t>
  </si>
  <si>
    <t>SAN FERNANDO S.A.</t>
  </si>
  <si>
    <t>01-FN01-00001069</t>
  </si>
  <si>
    <t>01-FN01-00001589</t>
  </si>
  <si>
    <t>01-FN01-00001109</t>
  </si>
  <si>
    <t>01-FN01-00001492</t>
  </si>
  <si>
    <t>01-FN01-00001484</t>
  </si>
  <si>
    <t>01-FN01-00002985</t>
  </si>
  <si>
    <t>01-FN01-00002413</t>
  </si>
  <si>
    <t>01-FN01-00002282</t>
  </si>
  <si>
    <t>01-FN01-00002637</t>
  </si>
  <si>
    <t>01-FN01-00002186</t>
  </si>
  <si>
    <t>01-FN01-00002185</t>
  </si>
  <si>
    <t>01-FN01-00002830</t>
  </si>
  <si>
    <t>01-FN01-00002089</t>
  </si>
  <si>
    <t>01-FN01-00002442</t>
  </si>
  <si>
    <t>01-E001-00000553</t>
  </si>
  <si>
    <t>01-FN01-00002986</t>
  </si>
  <si>
    <t>01-FN01-00001565</t>
  </si>
  <si>
    <t>01-FN01-00001539</t>
  </si>
  <si>
    <t>01-FN01-00001270</t>
  </si>
  <si>
    <t>01-FN01-00001267</t>
  </si>
  <si>
    <t>01-FN01-00001265</t>
  </si>
  <si>
    <t>01-FN01-00003036</t>
  </si>
  <si>
    <t>01-FN01-00001103</t>
  </si>
  <si>
    <t>01-FN01-00002489</t>
  </si>
  <si>
    <t>01-FN01-00002491</t>
  </si>
  <si>
    <t>01-FN01-00002762</t>
  </si>
  <si>
    <t>01-FN01-00002902</t>
  </si>
  <si>
    <t>01-FN01-00002283</t>
  </si>
  <si>
    <t>01-FN01-00002281</t>
  </si>
  <si>
    <t>01-FN01-00002280</t>
  </si>
  <si>
    <t>01-FN01-00002666</t>
  </si>
  <si>
    <t>01-FN01-00002604</t>
  </si>
  <si>
    <t>01-FN05-00000164</t>
  </si>
  <si>
    <t>SANAQ AGROBUSINESS S.A.C.</t>
  </si>
  <si>
    <t>01-FN05-00000162</t>
  </si>
  <si>
    <t>01-FN01-00002995</t>
  </si>
  <si>
    <t>SANRAN S.A.C.</t>
  </si>
  <si>
    <t>01-FN01-00002871</t>
  </si>
  <si>
    <t>03-EB01-00000044</t>
  </si>
  <si>
    <t>SANTOS HUAMAN BENEDICTA SOFIA</t>
  </si>
  <si>
    <t>01-FN01-00002372</t>
  </si>
  <si>
    <t>TECNICA AVICOLA S.A.</t>
  </si>
  <si>
    <t>01-FN01-00002670</t>
  </si>
  <si>
    <t>01-FN01-00002494</t>
  </si>
  <si>
    <t>01-FN01-00003013</t>
  </si>
  <si>
    <t>01-FN01-00002764</t>
  </si>
  <si>
    <t>TORO CARRANZA HERMINIO</t>
  </si>
  <si>
    <t>03-BN01-00000137</t>
  </si>
  <si>
    <t>TORREBLANCA CARREON,UBALDO ENRIQUE RODRIGO</t>
  </si>
  <si>
    <t>03-BN01-00000153</t>
  </si>
  <si>
    <t>01-FN01-00001715</t>
  </si>
  <si>
    <t>TRANSPORTES HERNANDEZ S.A.C.</t>
  </si>
  <si>
    <t>01-FN01-00001714</t>
  </si>
  <si>
    <t>01-FN01-00002209</t>
  </si>
  <si>
    <t>VILLA ESMERALDA S.A.C.</t>
  </si>
  <si>
    <t>01-FN01-00002208</t>
  </si>
  <si>
    <t>01-FN01-00002156</t>
  </si>
  <si>
    <t>01-FN01-00003003</t>
  </si>
  <si>
    <t>01-FN01-00002769</t>
  </si>
  <si>
    <t>01-FN01-00002601</t>
  </si>
  <si>
    <t>01-FN01-00002600</t>
  </si>
  <si>
    <t>01-FN01-00002508</t>
  </si>
  <si>
    <t>01-FN01-00002414</t>
  </si>
  <si>
    <t>01-FN01-00002376</t>
  </si>
  <si>
    <t>01-FN01-00002266</t>
  </si>
  <si>
    <t>01-FN01-00002060</t>
  </si>
  <si>
    <t>01-FN01-00001916</t>
  </si>
  <si>
    <t>15 &lt;= 30 DIAS</t>
  </si>
  <si>
    <t>1-POR VENCER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</si>
</sst>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3" formatCode="_-* #,##0.00_-;\-* #,##0.00_-;_-* &quot;-&quot;??_-;_-@_-"/>
    <numFmt numFmtId="164" formatCode="_-&quot;S/&quot;* #,##0.00_-;\-&quot;S/&quot;* #,##0.00_-;_-&quot;S/&quot;* &quot;-&quot;??_-;_-@_-"/>
    <numFmt numFmtId="165" formatCode="_-[$S/-280A]\ * #,##0.00_-;\-[$S/-280A]\ * #,##0.00_-;_-[$S/-280A]\ * &quot;-&quot;??_-;_-@_-"/>
    <numFmt numFmtId="166" formatCode="[$$-540A]#,##0.00_ ;\-[$$-540A]#,##0.00\ "/>
    <numFmt numFmtId="167" formatCode="[$$-540A]#,##0.00"/>
    <numFmt numFmtId="168" formatCode="_-* #,##0.000_-;\-* #,##0.000_-;_-* &quot;-&quot;??_-;_-@_-"/>
  </numFmts>
  <fonts count="1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6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14" fontId="0" fillId="0" borderId="3" xfId="0" applyNumberFormat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4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3" xfId="0" applyBorder="1" applyAlignment="1">
      <alignment horizontal="left"/>
    </xf>
    <xf numFmtId="0" fontId="0" fillId="0" borderId="3" xfId="0" applyBorder="1"/>
    <xf numFmtId="165" fontId="0" fillId="0" borderId="3" xfId="0" applyNumberFormat="1" applyBorder="1"/>
    <xf numFmtId="166" fontId="0" fillId="0" borderId="3" xfId="0" applyNumberFormat="1" applyBorder="1"/>
    <xf numFmtId="0" fontId="2" fillId="5" borderId="3" xfId="0" applyFont="1" applyFill="1" applyBorder="1"/>
    <xf numFmtId="0" fontId="2" fillId="5" borderId="3" xfId="0" applyFont="1" applyFill="1" applyBorder="1" applyAlignment="1">
      <alignment horizontal="left"/>
    </xf>
    <xf numFmtId="167" fontId="0" fillId="0" borderId="3" xfId="0" applyNumberFormat="1" applyBorder="1" applyAlignment="1">
      <alignment horizontal="right"/>
    </xf>
    <xf numFmtId="10" fontId="0" fillId="0" borderId="0" xfId="0" applyNumberFormat="1"/>
    <xf numFmtId="0" fontId="0" fillId="0" borderId="4" xfId="0" applyBorder="1"/>
    <xf numFmtId="10" fontId="0" fillId="0" borderId="1" xfId="0" applyNumberFormat="1" applyBorder="1"/>
    <xf numFmtId="164" fontId="0" fillId="0" borderId="3" xfId="1" applyFont="1" applyBorder="1"/>
    <xf numFmtId="166" fontId="0" fillId="0" borderId="3" xfId="1" applyNumberFormat="1" applyFont="1" applyBorder="1"/>
    <xf numFmtId="165" fontId="0" fillId="0" borderId="1" xfId="0" applyNumberFormat="1" applyBorder="1"/>
    <xf numFmtId="9" fontId="0" fillId="0" borderId="3" xfId="0" applyNumberFormat="1" applyBorder="1"/>
    <xf numFmtId="0" fontId="7" fillId="0" borderId="0" xfId="0" applyFont="1" applyAlignment="1">
      <alignment horizontal="center" vertical="center" wrapText="1"/>
    </xf>
    <xf numFmtId="14" fontId="6" fillId="0" borderId="5" xfId="0" applyNumberFormat="1" applyFont="1" applyBorder="1" applyAlignment="1">
      <alignment horizontal="center" vertical="center" wrapText="1"/>
    </xf>
    <xf numFmtId="0" fontId="2" fillId="7" borderId="3" xfId="0" applyFont="1" applyFill="1" applyBorder="1"/>
    <xf numFmtId="0" fontId="8" fillId="4" borderId="0" xfId="0" applyFont="1" applyFill="1"/>
    <xf numFmtId="168" fontId="0" fillId="0" borderId="0" xfId="2" applyNumberFormat="1" applyFont="1"/>
    <xf numFmtId="168" fontId="2" fillId="2" borderId="1" xfId="2" applyNumberFormat="1" applyFont="1" applyFill="1" applyBorder="1" applyAlignment="1">
      <alignment horizontal="center" vertical="center" wrapText="1"/>
    </xf>
    <xf numFmtId="43" fontId="0" fillId="0" borderId="3" xfId="2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5" fillId="6" borderId="0" xfId="0" applyFont="1" applyFill="1" applyAlignment="1">
      <alignment horizontal="center" vertical="center"/>
    </xf>
    <xf numFmtId="0" fontId="0" fillId="0" borderId="0" xfId="0" applyNumberFormat="1"/>
  </cellXfs>
  <cellStyles count="3">
    <cellStyle name="Millares" xfId="2" builtinId="3"/>
    <cellStyle name="Moneda" xfId="1" builtinId="4"/>
    <cellStyle name="Normal" xfId="0" builtinId="0"/>
  </cellStyles>
  <dxfs count="25"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5" formatCode="_-* #,##0.00_-;\-* #,##0.00_-;_-* &quot;-&quot;??_-;_-@_-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68" formatCode="_-* #,##0.000_-;\-* #,##0.000_-;_-* &quot;-&quot;??_-;_-@_-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9" formatCode="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9" formatCode="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2" tint="-0.749961851863155"/>
        </patternFill>
      </fill>
    </dxf>
    <dxf>
      <fill>
        <patternFill>
          <bgColor theme="2" tint="-0.749961851863155"/>
        </patternFill>
      </fill>
    </dxf>
    <dxf>
      <fill>
        <patternFill>
          <bgColor theme="2" tint="-0.749961851863155"/>
        </patternFill>
      </fill>
    </dxf>
    <dxf>
      <fill>
        <patternFill>
          <bgColor theme="2" tint="-0.749961851863155"/>
        </patternFill>
      </fill>
    </dxf>
    <dxf>
      <fill>
        <patternFill>
          <bgColor theme="5" tint="0.59996337778862885"/>
        </patternFill>
      </fill>
    </dxf>
    <dxf>
      <fill>
        <patternFill>
          <bgColor theme="2" tint="-0.89996032593768116"/>
        </patternFill>
      </fill>
    </dxf>
    <dxf>
      <font>
        <b/>
        <color theme="1"/>
      </font>
      <fill>
        <patternFill>
          <bgColor rgb="FF1E81B0"/>
        </patternFill>
      </fill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theme="2" tint="-0.499984740745262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</dxfs>
  <tableStyles count="1" defaultTableStyle="TableStyleMedium2" defaultPivotStyle="PivotStyleLight16">
    <tableStyle name="SlicerStyleLight1 2" pivot="0" table="0" count="16" xr9:uid="{3B36B45C-A660-6340-AF00-75449890CA0F}">
      <tableStyleElement type="wholeTable" dxfId="24"/>
      <tableStyleElement type="headerRow" dxfId="23"/>
      <tableStyleElement type="totalRow" dxfId="22"/>
      <tableStyleElement type="firstColumn" dxfId="21"/>
      <tableStyleElement type="firstColumnStripe" dxfId="20"/>
      <tableStyleElement type="secondColumnStripe" dxfId="19"/>
      <tableStyleElement type="firstHeaderCell" dxfId="18"/>
      <tableStyleElement type="lastTotalCell" dxfId="17"/>
    </tableStyle>
  </tableStyles>
  <colors>
    <mruColors>
      <color rgb="FF1E81B0"/>
      <color rgb="FFB14D1E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tx>
            <c:strRef>
              <c:f>'TABLAS DINAMICAS'!$L$23</c:f>
              <c:strCache>
                <c:ptCount val="1"/>
                <c:pt idx="0">
                  <c:v>TENDENCIA ACUMULADA</c:v>
                </c:pt>
              </c:strCache>
            </c:strRef>
          </c:tx>
          <c:spPr>
            <a:ln w="25400" cap="rnd">
              <a:gradFill>
                <a:gsLst>
                  <a:gs pos="100000">
                    <a:schemeClr val="accent1">
                      <a:lumMod val="5000"/>
                      <a:lumOff val="95000"/>
                    </a:schemeClr>
                  </a:gs>
                  <a:gs pos="62000">
                    <a:schemeClr val="accent1">
                      <a:lumMod val="45000"/>
                      <a:lumOff val="55000"/>
                    </a:schemeClr>
                  </a:gs>
                  <a:gs pos="87000">
                    <a:schemeClr val="accent1">
                      <a:lumMod val="45000"/>
                      <a:lumOff val="55000"/>
                    </a:schemeClr>
                  </a:gs>
                  <a:gs pos="0">
                    <a:srgbClr val="1E81B0"/>
                  </a:gs>
                </a:gsLst>
                <a:lin ang="5400000" scaled="1"/>
              </a:gra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'TABLAS DINAMICAS'!$K$24:$K$35</c:f>
              <c:strCache>
                <c:ptCount val="12"/>
                <c:pt idx="0">
                  <c:v>01-Ene</c:v>
                </c:pt>
                <c:pt idx="1">
                  <c:v>02-Feb</c:v>
                </c:pt>
                <c:pt idx="2">
                  <c:v>03-Mar</c:v>
                </c:pt>
                <c:pt idx="3">
                  <c:v>04-Abr</c:v>
                </c:pt>
                <c:pt idx="4">
                  <c:v>05-May</c:v>
                </c:pt>
                <c:pt idx="5">
                  <c:v>06-Jun</c:v>
                </c:pt>
                <c:pt idx="6">
                  <c:v>07-Jul</c:v>
                </c:pt>
                <c:pt idx="7">
                  <c:v>08-Ago</c:v>
                </c:pt>
                <c:pt idx="8">
                  <c:v>09-Set</c:v>
                </c:pt>
                <c:pt idx="9">
                  <c:v>10-Oct</c:v>
                </c:pt>
                <c:pt idx="10">
                  <c:v>11-Nov</c:v>
                </c:pt>
                <c:pt idx="11">
                  <c:v>12-Dic</c:v>
                </c:pt>
              </c:strCache>
            </c:strRef>
          </c:cat>
          <c:val>
            <c:numRef>
              <c:f>'TABLAS DINAMICAS'!$L$24:$L$35</c:f>
              <c:numCache>
                <c:formatCode>_-[$S/-280A]\ * #,##0.00_-;\-[$S/-280A]\ * #,##0.00_-;_-[$S/-280A]\ * "-"??_-;_-@_-</c:formatCode>
                <c:ptCount val="12"/>
                <c:pt idx="0">
                  <c:v>1017130.2500000001</c:v>
                </c:pt>
                <c:pt idx="1">
                  <c:v>1429366.61</c:v>
                </c:pt>
                <c:pt idx="2">
                  <c:v>1512442.9600000002</c:v>
                </c:pt>
                <c:pt idx="3">
                  <c:v>1574575.2300000002</c:v>
                </c:pt>
                <c:pt idx="4">
                  <c:v>1617114.8000000003</c:v>
                </c:pt>
                <c:pt idx="5">
                  <c:v>1671314.7700000003</c:v>
                </c:pt>
                <c:pt idx="6">
                  <c:v>1754459.0400000003</c:v>
                </c:pt>
                <c:pt idx="7">
                  <c:v>1829657.7000000002</c:v>
                </c:pt>
                <c:pt idx="8">
                  <c:v>1930115.8100000003</c:v>
                </c:pt>
                <c:pt idx="9">
                  <c:v>2069107.1000000003</c:v>
                </c:pt>
                <c:pt idx="10">
                  <c:v>2401934.9100000006</c:v>
                </c:pt>
                <c:pt idx="11">
                  <c:v>3626162.3000000003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A043-9AB9-84C4512F8F7F}"/>
            </c:ext>
          </c:extLst>
        </c:ser>
        <c:ser>
          <c:idx val="1"/>
          <c:order val="1"/>
          <c:tx>
            <c:strRef>
              <c:f>'TABLAS DINAMICAS'!$M$23</c:f>
              <c:strCache>
                <c:ptCount val="1"/>
                <c:pt idx="0">
                  <c:v>TENDENCIA POR MES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'TABLAS DINAMICAS'!$K$24:$K$35</c:f>
              <c:strCache>
                <c:ptCount val="12"/>
                <c:pt idx="0">
                  <c:v>01-Ene</c:v>
                </c:pt>
                <c:pt idx="1">
                  <c:v>02-Feb</c:v>
                </c:pt>
                <c:pt idx="2">
                  <c:v>03-Mar</c:v>
                </c:pt>
                <c:pt idx="3">
                  <c:v>04-Abr</c:v>
                </c:pt>
                <c:pt idx="4">
                  <c:v>05-May</c:v>
                </c:pt>
                <c:pt idx="5">
                  <c:v>06-Jun</c:v>
                </c:pt>
                <c:pt idx="6">
                  <c:v>07-Jul</c:v>
                </c:pt>
                <c:pt idx="7">
                  <c:v>08-Ago</c:v>
                </c:pt>
                <c:pt idx="8">
                  <c:v>09-Set</c:v>
                </c:pt>
                <c:pt idx="9">
                  <c:v>10-Oct</c:v>
                </c:pt>
                <c:pt idx="10">
                  <c:v>11-Nov</c:v>
                </c:pt>
                <c:pt idx="11">
                  <c:v>12-Dic</c:v>
                </c:pt>
              </c:strCache>
            </c:strRef>
          </c:cat>
          <c:val>
            <c:numRef>
              <c:f>'TABLAS DINAMICAS'!$M$24:$M$35</c:f>
              <c:numCache>
                <c:formatCode>_-"S/"* #,##0.00_-;\-"S/"* #,##0.00_-;_-"S/"* "-"??_-;_-@_-</c:formatCode>
                <c:ptCount val="12"/>
                <c:pt idx="0">
                  <c:v>1017130.2500000001</c:v>
                </c:pt>
                <c:pt idx="1">
                  <c:v>412236.36000000004</c:v>
                </c:pt>
                <c:pt idx="2">
                  <c:v>83076.350000000006</c:v>
                </c:pt>
                <c:pt idx="3">
                  <c:v>62132.27</c:v>
                </c:pt>
                <c:pt idx="4">
                  <c:v>42539.569999999992</c:v>
                </c:pt>
                <c:pt idx="5">
                  <c:v>54199.969999999994</c:v>
                </c:pt>
                <c:pt idx="6">
                  <c:v>83144.26999999999</c:v>
                </c:pt>
                <c:pt idx="7">
                  <c:v>75198.66</c:v>
                </c:pt>
                <c:pt idx="8">
                  <c:v>100458.11</c:v>
                </c:pt>
                <c:pt idx="9">
                  <c:v>138991.28999999998</c:v>
                </c:pt>
                <c:pt idx="10">
                  <c:v>332827.81000000011</c:v>
                </c:pt>
                <c:pt idx="11">
                  <c:v>1224227.3899999997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49-A043-9AB9-84C4512F8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0810175"/>
        <c:axId val="1176939951"/>
      </c:lineChart>
      <c:catAx>
        <c:axId val="123081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5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176939951"/>
        <c:crosses val="autoZero"/>
        <c:auto val="1"/>
        <c:lblAlgn val="ctr"/>
        <c:lblOffset val="100"/>
        <c:noMultiLvlLbl val="0"/>
      </c:catAx>
      <c:valAx>
        <c:axId val="1176939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S/-280A]\ * #,##0.00_-;\-[$S/-280A]\ * #,##0.00_-;_-[$S/-280A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30810175"/>
        <c:crosses val="autoZero"/>
        <c:crossBetween val="between"/>
        <c:majorUnit val="500000"/>
        <c:minorUnit val="200000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tx>
            <c:strRef>
              <c:f>'TABLAS DINAMICAS'!$P$22</c:f>
              <c:strCache>
                <c:ptCount val="1"/>
                <c:pt idx="0">
                  <c:v>TENDENCIA ACUMULADA</c:v>
                </c:pt>
              </c:strCache>
            </c:strRef>
          </c:tx>
          <c:spPr>
            <a:ln w="38100" cap="rnd">
              <a:gradFill>
                <a:gsLst>
                  <a:gs pos="100000">
                    <a:schemeClr val="accent1">
                      <a:lumMod val="5000"/>
                      <a:lumOff val="95000"/>
                    </a:schemeClr>
                  </a:gs>
                  <a:gs pos="47000">
                    <a:schemeClr val="accent1">
                      <a:lumMod val="45000"/>
                      <a:lumOff val="55000"/>
                    </a:schemeClr>
                  </a:gs>
                  <a:gs pos="79000">
                    <a:schemeClr val="accent1">
                      <a:lumMod val="45000"/>
                      <a:lumOff val="55000"/>
                    </a:schemeClr>
                  </a:gs>
                  <a:gs pos="0">
                    <a:srgbClr val="1E81B0"/>
                  </a:gs>
                </a:gsLst>
                <a:lin ang="5400000" scaled="1"/>
              </a:gra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'TABLAS DINAMICAS'!$O$23:$O$34</c:f>
              <c:strCache>
                <c:ptCount val="12"/>
                <c:pt idx="0">
                  <c:v>01-Ene</c:v>
                </c:pt>
                <c:pt idx="1">
                  <c:v>02-Feb</c:v>
                </c:pt>
                <c:pt idx="2">
                  <c:v>03-Mar</c:v>
                </c:pt>
                <c:pt idx="3">
                  <c:v>04-Abr</c:v>
                </c:pt>
                <c:pt idx="4">
                  <c:v>05-May</c:v>
                </c:pt>
                <c:pt idx="5">
                  <c:v>06-Jun</c:v>
                </c:pt>
                <c:pt idx="6">
                  <c:v>07-Jul</c:v>
                </c:pt>
                <c:pt idx="7">
                  <c:v>08-Ago</c:v>
                </c:pt>
                <c:pt idx="8">
                  <c:v>09-Set</c:v>
                </c:pt>
                <c:pt idx="9">
                  <c:v>10-Oct</c:v>
                </c:pt>
                <c:pt idx="10">
                  <c:v>11-Nov</c:v>
                </c:pt>
                <c:pt idx="11">
                  <c:v>12-Dic</c:v>
                </c:pt>
              </c:strCache>
            </c:strRef>
          </c:cat>
          <c:val>
            <c:numRef>
              <c:f>'TABLAS DINAMICAS'!$P$23:$P$34</c:f>
              <c:numCache>
                <c:formatCode>[$$-540A]#,##0.00</c:formatCode>
                <c:ptCount val="12"/>
                <c:pt idx="0">
                  <c:v>205623.06999999998</c:v>
                </c:pt>
                <c:pt idx="1">
                  <c:v>274984.53999999998</c:v>
                </c:pt>
                <c:pt idx="2">
                  <c:v>378635.89999999997</c:v>
                </c:pt>
                <c:pt idx="3">
                  <c:v>422206.67999999993</c:v>
                </c:pt>
                <c:pt idx="4">
                  <c:v>436452.62999999995</c:v>
                </c:pt>
                <c:pt idx="5">
                  <c:v>444883.59999999992</c:v>
                </c:pt>
                <c:pt idx="6">
                  <c:v>451614.39999999991</c:v>
                </c:pt>
                <c:pt idx="7">
                  <c:v>474850.50999999989</c:v>
                </c:pt>
                <c:pt idx="8">
                  <c:v>530830.44999999995</c:v>
                </c:pt>
                <c:pt idx="9">
                  <c:v>739275.58999999985</c:v>
                </c:pt>
                <c:pt idx="10">
                  <c:v>866690.76999999979</c:v>
                </c:pt>
                <c:pt idx="11">
                  <c:v>1089937.9199999997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50-CE41-94CC-7FCC648E2FE5}"/>
            </c:ext>
          </c:extLst>
        </c:ser>
        <c:ser>
          <c:idx val="1"/>
          <c:order val="1"/>
          <c:tx>
            <c:strRef>
              <c:f>'TABLAS DINAMICAS'!$Q$22</c:f>
              <c:strCache>
                <c:ptCount val="1"/>
                <c:pt idx="0">
                  <c:v>TENDENCIA POR MES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'TABLAS DINAMICAS'!$O$23:$O$34</c:f>
              <c:strCache>
                <c:ptCount val="12"/>
                <c:pt idx="0">
                  <c:v>01-Ene</c:v>
                </c:pt>
                <c:pt idx="1">
                  <c:v>02-Feb</c:v>
                </c:pt>
                <c:pt idx="2">
                  <c:v>03-Mar</c:v>
                </c:pt>
                <c:pt idx="3">
                  <c:v>04-Abr</c:v>
                </c:pt>
                <c:pt idx="4">
                  <c:v>05-May</c:v>
                </c:pt>
                <c:pt idx="5">
                  <c:v>06-Jun</c:v>
                </c:pt>
                <c:pt idx="6">
                  <c:v>07-Jul</c:v>
                </c:pt>
                <c:pt idx="7">
                  <c:v>08-Ago</c:v>
                </c:pt>
                <c:pt idx="8">
                  <c:v>09-Set</c:v>
                </c:pt>
                <c:pt idx="9">
                  <c:v>10-Oct</c:v>
                </c:pt>
                <c:pt idx="10">
                  <c:v>11-Nov</c:v>
                </c:pt>
                <c:pt idx="11">
                  <c:v>12-Dic</c:v>
                </c:pt>
              </c:strCache>
            </c:strRef>
          </c:cat>
          <c:val>
            <c:numRef>
              <c:f>'TABLAS DINAMICAS'!$Q$23:$Q$34</c:f>
              <c:numCache>
                <c:formatCode>[$$-540A]#,##0.00</c:formatCode>
                <c:ptCount val="12"/>
                <c:pt idx="0">
                  <c:v>205623.06999999998</c:v>
                </c:pt>
                <c:pt idx="1">
                  <c:v>69361.47</c:v>
                </c:pt>
                <c:pt idx="2">
                  <c:v>103651.36</c:v>
                </c:pt>
                <c:pt idx="3">
                  <c:v>43570.78</c:v>
                </c:pt>
                <c:pt idx="4">
                  <c:v>14245.950000000003</c:v>
                </c:pt>
                <c:pt idx="5">
                  <c:v>8430.9699999999993</c:v>
                </c:pt>
                <c:pt idx="6">
                  <c:v>6730.8</c:v>
                </c:pt>
                <c:pt idx="7">
                  <c:v>23236.109999999997</c:v>
                </c:pt>
                <c:pt idx="8">
                  <c:v>55979.94000000001</c:v>
                </c:pt>
                <c:pt idx="9">
                  <c:v>208445.13999999996</c:v>
                </c:pt>
                <c:pt idx="10">
                  <c:v>127415.17999999998</c:v>
                </c:pt>
                <c:pt idx="11">
                  <c:v>223247.14999999994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50-CE41-94CC-7FCC648E2F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0810175"/>
        <c:axId val="1176939951"/>
      </c:lineChart>
      <c:catAx>
        <c:axId val="123081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5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176939951"/>
        <c:crosses val="autoZero"/>
        <c:auto val="1"/>
        <c:lblAlgn val="ctr"/>
        <c:lblOffset val="100"/>
        <c:noMultiLvlLbl val="0"/>
      </c:catAx>
      <c:valAx>
        <c:axId val="1176939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540A]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30810175"/>
        <c:crosses val="autoZero"/>
        <c:crossBetween val="between"/>
        <c:majorUnit val="200000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1E81B0"/>
              </a:solidFill>
              <a:ln w="38100">
                <a:solidFill>
                  <a:srgbClr val="1E81B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DD1-3A49-87EF-4947EC0CCE20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DD1-3A49-87EF-4947EC0CCE20}"/>
              </c:ext>
            </c:extLst>
          </c:dPt>
          <c:val>
            <c:numRef>
              <c:f>'TABLAS DINAMICAS'!$B$37:$C$37</c:f>
              <c:numCache>
                <c:formatCode>0%</c:formatCode>
                <c:ptCount val="2"/>
                <c:pt idx="0">
                  <c:v>2.5374539909589818E-2</c:v>
                </c:pt>
                <c:pt idx="1">
                  <c:v>0.97462546009041018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1-3A49-87EF-4947EC0CC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1E81B0"/>
              </a:solidFill>
              <a:ln w="38100">
                <a:solidFill>
                  <a:srgbClr val="1E81B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DAE-5940-8E55-90E33C54AB7D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AE-5940-8E55-90E33C54AB7D}"/>
              </c:ext>
            </c:extLst>
          </c:dPt>
          <c:val>
            <c:numRef>
              <c:f>'TABLAS DINAMICAS'!$B$36:$C$36</c:f>
              <c:numCache>
                <c:formatCode>0%</c:formatCode>
                <c:ptCount val="2"/>
                <c:pt idx="0">
                  <c:v>7.2560734526416523E-2</c:v>
                </c:pt>
                <c:pt idx="1">
                  <c:v>0.92743926547358346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DAE-5940-8E55-90E33C54A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1E81B0"/>
              </a:solidFill>
              <a:ln w="38100">
                <a:solidFill>
                  <a:srgbClr val="1E81B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DCB-604C-99B1-27AAFE1123A9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DCB-604C-99B1-27AAFE1123A9}"/>
              </c:ext>
            </c:extLst>
          </c:dPt>
          <c:val>
            <c:numRef>
              <c:f>'TABLAS DINAMICAS'!$B$38:$C$38</c:f>
              <c:numCache>
                <c:formatCode>0%</c:formatCode>
                <c:ptCount val="2"/>
                <c:pt idx="0">
                  <c:v>2.5268212622474171E-2</c:v>
                </c:pt>
                <c:pt idx="1">
                  <c:v>0.97473178737752586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CB-604C-99B1-27AAFE112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1E81B0"/>
              </a:solidFill>
              <a:ln w="38100">
                <a:solidFill>
                  <a:srgbClr val="1E81B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2FE-C947-BB5E-D572FC574FC5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2FE-C947-BB5E-D572FC574FC5}"/>
              </c:ext>
            </c:extLst>
          </c:dPt>
          <c:val>
            <c:numRef>
              <c:f>'TABLAS DINAMICAS'!$B$39:$C$39</c:f>
              <c:numCache>
                <c:formatCode>0%</c:formatCode>
                <c:ptCount val="2"/>
                <c:pt idx="0">
                  <c:v>0.12454492453357643</c:v>
                </c:pt>
                <c:pt idx="1">
                  <c:v>0.87545507546642354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FE-C947-BB5E-D572FC574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1E81B0"/>
              </a:solidFill>
              <a:ln w="38100">
                <a:solidFill>
                  <a:srgbClr val="1E81B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76E-CD4F-B3EE-8C5C09939A2F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6E-CD4F-B3EE-8C5C09939A2F}"/>
              </c:ext>
            </c:extLst>
          </c:dPt>
          <c:val>
            <c:numRef>
              <c:f>'TABLAS DINAMICAS'!$F$36:$G$36</c:f>
              <c:numCache>
                <c:formatCode>0%</c:formatCode>
                <c:ptCount val="2"/>
                <c:pt idx="0">
                  <c:v>9.4761571374633896E-2</c:v>
                </c:pt>
                <c:pt idx="1">
                  <c:v>0.90523842862536608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6E-CD4F-B3EE-8C5C09939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1E81B0"/>
              </a:solidFill>
              <a:ln w="38100">
                <a:solidFill>
                  <a:srgbClr val="1E81B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88D-5E4F-8118-F0573E1DE161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88D-5E4F-8118-F0573E1DE161}"/>
              </c:ext>
            </c:extLst>
          </c:dPt>
          <c:val>
            <c:numRef>
              <c:f>'TABLAS DINAMICAS'!$F$37:$G$37</c:f>
              <c:numCache>
                <c:formatCode>0%</c:formatCode>
                <c:ptCount val="2"/>
                <c:pt idx="0">
                  <c:v>0.14269020936531873</c:v>
                </c:pt>
                <c:pt idx="1">
                  <c:v>0.85730979063468127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88D-5E4F-8118-F0573E1DE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1E81B0"/>
              </a:solidFill>
              <a:ln w="38100">
                <a:solidFill>
                  <a:srgbClr val="1E81B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263-B848-905B-EC0AF6AF3836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263-B848-905B-EC0AF6AF3836}"/>
              </c:ext>
            </c:extLst>
          </c:dPt>
          <c:val>
            <c:numRef>
              <c:f>'TABLAS DINAMICAS'!$F$38:$G$38</c:f>
              <c:numCache>
                <c:formatCode>0%</c:formatCode>
                <c:ptCount val="2"/>
                <c:pt idx="0">
                  <c:v>3.8994826420939648E-2</c:v>
                </c:pt>
                <c:pt idx="1">
                  <c:v>0.96100517357906035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263-B848-905B-EC0AF6AF38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1E81B0"/>
              </a:solidFill>
              <a:ln w="38100">
                <a:solidFill>
                  <a:srgbClr val="1E81B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A01-5640-A058-456DF1B51A2C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A01-5640-A058-456DF1B51A2C}"/>
              </c:ext>
            </c:extLst>
          </c:dPt>
          <c:val>
            <c:numRef>
              <c:f>'TABLAS DINAMICAS'!$F$39:$G$39</c:f>
              <c:numCache>
                <c:formatCode>0%</c:formatCode>
                <c:ptCount val="2"/>
                <c:pt idx="0">
                  <c:v>0.11578563116695674</c:v>
                </c:pt>
                <c:pt idx="1">
                  <c:v>0.88421436883304327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01-5640-A058-456DF1B51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0"/>
    </c:view3D>
    <c:floor>
      <c:thickness val="0"/>
      <c:spPr>
        <a:solidFill>
          <a:schemeClr val="accent1">
            <a:alpha val="30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'TABLAS DINAMICAS'!$A$15:$A$18</c:f>
              <c:strCache>
                <c:ptCount val="4"/>
                <c:pt idx="0">
                  <c:v>30 &lt;= 60 DIAS</c:v>
                </c:pt>
                <c:pt idx="1">
                  <c:v>60 &lt;= 90 DIAS</c:v>
                </c:pt>
                <c:pt idx="2">
                  <c:v>90 &lt;= 180 DIAS</c:v>
                </c:pt>
                <c:pt idx="3">
                  <c:v>180 &lt;= 360 DIAS</c:v>
                </c:pt>
              </c:strCache>
            </c:strRef>
          </c:cat>
          <c:val>
            <c:numRef>
              <c:f>'TABLAS DINAMICAS'!$B$15:$B$18</c:f>
              <c:numCache>
                <c:formatCode>_-[$S/-280A]\ * #,##0.00_-;\-[$S/-280A]\ * #,##0.00_-;_-[$S/-280A]\ * "-"??_-;_-@_-</c:formatCode>
                <c:ptCount val="4"/>
                <c:pt idx="0">
                  <c:v>263116.99999999994</c:v>
                </c:pt>
                <c:pt idx="1">
                  <c:v>92012.2</c:v>
                </c:pt>
                <c:pt idx="2">
                  <c:v>91626.63999999997</c:v>
                </c:pt>
                <c:pt idx="3">
                  <c:v>451620.10999999993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CE-B54B-9C1A-AC6E631AA4C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4"/>
        <c:gapDepth val="0"/>
        <c:shape val="box"/>
        <c:axId val="1251168655"/>
        <c:axId val="1251335887"/>
        <c:axId val="0"/>
      </c:bar3DChart>
      <c:catAx>
        <c:axId val="12511686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60000"/>
                  <a:lumOff val="4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51335887"/>
        <c:crosses val="autoZero"/>
        <c:auto val="1"/>
        <c:lblAlgn val="ctr"/>
        <c:lblOffset val="100"/>
        <c:noMultiLvlLbl val="0"/>
      </c:catAx>
      <c:valAx>
        <c:axId val="1251335887"/>
        <c:scaling>
          <c:orientation val="minMax"/>
        </c:scaling>
        <c:delete val="1"/>
        <c:axPos val="l"/>
        <c:numFmt formatCode="_-[$S/-280A]\ * #,##0.00_-;\-[$S/-280A]\ * #,##0.00_-;_-[$S/-280A]\ * &quot;-&quot;??_-;_-@_-" sourceLinked="1"/>
        <c:majorTickMark val="none"/>
        <c:minorTickMark val="none"/>
        <c:tickLblPos val="nextTo"/>
        <c:crossAx val="12511686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0"/>
    </c:view3D>
    <c:floor>
      <c:thickness val="0"/>
      <c:spPr>
        <a:solidFill>
          <a:schemeClr val="accent1">
            <a:alpha val="30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'TABLAS DINAMICAS'!$E$15:$E$18</c:f>
              <c:strCache>
                <c:ptCount val="4"/>
                <c:pt idx="0">
                  <c:v>30 &lt;= 60 DIAS</c:v>
                </c:pt>
                <c:pt idx="1">
                  <c:v>60 &lt;= 90 DIAS</c:v>
                </c:pt>
                <c:pt idx="2">
                  <c:v>90 &lt;= 180 DIAS</c:v>
                </c:pt>
                <c:pt idx="3">
                  <c:v>180 &lt;= 360 DIAS</c:v>
                </c:pt>
              </c:strCache>
            </c:strRef>
          </c:cat>
          <c:val>
            <c:numRef>
              <c:f>'TABLAS DINAMICAS'!$F$15:$F$18</c:f>
              <c:numCache>
                <c:formatCode>[$$-540A]#,##0.00_ ;\-[$$-540A]#,##0.00\ </c:formatCode>
                <c:ptCount val="4"/>
                <c:pt idx="0">
                  <c:v>103284.23</c:v>
                </c:pt>
                <c:pt idx="1">
                  <c:v>155523.47</c:v>
                </c:pt>
                <c:pt idx="2">
                  <c:v>42501.94</c:v>
                </c:pt>
                <c:pt idx="3">
                  <c:v>126199.15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EC-B449-8D99-4D6BF20BF72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4"/>
        <c:gapDepth val="0"/>
        <c:shape val="box"/>
        <c:axId val="1251168655"/>
        <c:axId val="1251335887"/>
        <c:axId val="0"/>
      </c:bar3DChart>
      <c:catAx>
        <c:axId val="12511686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60000"/>
                  <a:lumOff val="4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51335887"/>
        <c:crosses val="autoZero"/>
        <c:auto val="1"/>
        <c:lblAlgn val="ctr"/>
        <c:lblOffset val="100"/>
        <c:noMultiLvlLbl val="0"/>
      </c:catAx>
      <c:valAx>
        <c:axId val="1251335887"/>
        <c:scaling>
          <c:orientation val="minMax"/>
        </c:scaling>
        <c:delete val="1"/>
        <c:axPos val="l"/>
        <c:numFmt formatCode="[$$-540A]#,##0.00_ ;\-[$$-540A]#,##0.00\ " sourceLinked="1"/>
        <c:majorTickMark val="none"/>
        <c:minorTickMark val="none"/>
        <c:tickLblPos val="nextTo"/>
        <c:crossAx val="12511686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5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lumMod val="20000"/>
          <a:lumOff val="8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lumMod val="20000"/>
          <a:lumOff val="80000"/>
        </a:schemeClr>
      </a:solidFill>
      <a:sp3d/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>
      <cs:styleClr val="0"/>
    </cs:fillRef>
    <cs:effectRef idx="0"/>
    <cs:fontRef idx="minor">
      <a:schemeClr val="dk1"/>
    </cs:fontRef>
    <cs:spPr>
      <a:solidFill>
        <a:schemeClr val="phClr">
          <a:alpha val="30000"/>
        </a:schemeClr>
      </a:solidFill>
      <a:sp3d/>
    </cs:spPr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lumMod val="60000"/>
            <a:lumOff val="40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lumMod val="50000"/>
            <a:lumOff val="5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95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lumMod val="20000"/>
          <a:lumOff val="8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lumMod val="20000"/>
          <a:lumOff val="80000"/>
        </a:schemeClr>
      </a:solidFill>
      <a:sp3d/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>
      <cs:styleClr val="0"/>
    </cs:fillRef>
    <cs:effectRef idx="0"/>
    <cs:fontRef idx="minor">
      <a:schemeClr val="dk1"/>
    </cs:fontRef>
    <cs:spPr>
      <a:solidFill>
        <a:schemeClr val="phClr">
          <a:alpha val="30000"/>
        </a:schemeClr>
      </a:solidFill>
      <a:sp3d/>
    </cs:spPr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lumMod val="60000"/>
            <a:lumOff val="40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lumMod val="50000"/>
            <a:lumOff val="5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hyperlink" Target="https://pixabay.com/es/flecha-bot%C3%B3n-actualizar-verde-31177/" TargetMode="Externa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microsoft.com/office/2007/relationships/hdphoto" Target="../media/hdphoto1.wdp"/><Relationship Id="rId2" Type="http://schemas.openxmlformats.org/officeDocument/2006/relationships/chart" Target="../charts/chart2.xml"/><Relationship Id="rId16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769620</xdr:colOff>
          <xdr:row>0</xdr:row>
          <xdr:rowOff>152400</xdr:rowOff>
        </xdr:from>
        <xdr:to>
          <xdr:col>11</xdr:col>
          <xdr:colOff>1188720</xdr:colOff>
          <xdr:row>1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QUITAR FILTRO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83820</xdr:colOff>
          <xdr:row>0</xdr:row>
          <xdr:rowOff>160020</xdr:rowOff>
        </xdr:from>
        <xdr:to>
          <xdr:col>9</xdr:col>
          <xdr:colOff>541020</xdr:colOff>
          <xdr:row>1</xdr:row>
          <xdr:rowOff>106680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1608196</xdr:colOff>
      <xdr:row>10</xdr:row>
      <xdr:rowOff>174507</xdr:rowOff>
    </xdr:from>
    <xdr:to>
      <xdr:col>10</xdr:col>
      <xdr:colOff>682037</xdr:colOff>
      <xdr:row>23</xdr:row>
      <xdr:rowOff>195083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FECHA VENCIMIENTO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VENCIMI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98937" y="2173581"/>
              <a:ext cx="4318470" cy="26193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94776</xdr:colOff>
      <xdr:row>69</xdr:row>
      <xdr:rowOff>94776</xdr:rowOff>
    </xdr:from>
    <xdr:to>
      <xdr:col>11</xdr:col>
      <xdr:colOff>796120</xdr:colOff>
      <xdr:row>80</xdr:row>
      <xdr:rowOff>204894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56866</xdr:colOff>
      <xdr:row>89</xdr:row>
      <xdr:rowOff>37910</xdr:rowOff>
    </xdr:from>
    <xdr:to>
      <xdr:col>5</xdr:col>
      <xdr:colOff>758210</xdr:colOff>
      <xdr:row>100</xdr:row>
      <xdr:rowOff>148028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8</xdr:col>
      <xdr:colOff>151642</xdr:colOff>
      <xdr:row>89</xdr:row>
      <xdr:rowOff>56865</xdr:rowOff>
    </xdr:from>
    <xdr:to>
      <xdr:col>12</xdr:col>
      <xdr:colOff>18956</xdr:colOff>
      <xdr:row>100</xdr:row>
      <xdr:rowOff>166983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12</xdr:col>
      <xdr:colOff>115873</xdr:colOff>
      <xdr:row>4</xdr:row>
      <xdr:rowOff>79374</xdr:rowOff>
    </xdr:from>
    <xdr:to>
      <xdr:col>15</xdr:col>
      <xdr:colOff>792480</xdr:colOff>
      <xdr:row>29</xdr:row>
      <xdr:rowOff>40531</xdr:rowOff>
    </xdr:to>
    <xdr:sp macro="" textlink="">
      <xdr:nvSpPr>
        <xdr:cNvPr id="95" name="Rectángulo 9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/>
      </xdr:nvSpPr>
      <xdr:spPr>
        <a:xfrm>
          <a:off x="10049087" y="895803"/>
          <a:ext cx="3159911" cy="5063835"/>
        </a:xfrm>
        <a:prstGeom prst="rect">
          <a:avLst/>
        </a:prstGeom>
        <a:solidFill>
          <a:schemeClr val="bg2">
            <a:lumMod val="1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absolute">
    <xdr:from>
      <xdr:col>0</xdr:col>
      <xdr:colOff>288314</xdr:colOff>
      <xdr:row>0</xdr:row>
      <xdr:rowOff>83497</xdr:rowOff>
    </xdr:from>
    <xdr:to>
      <xdr:col>2</xdr:col>
      <xdr:colOff>410522</xdr:colOff>
      <xdr:row>3</xdr:row>
      <xdr:rowOff>83497</xdr:rowOff>
    </xdr:to>
    <xdr:sp macro="" textlink="'TABLAS DINAMICAS'!L36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88314" y="83497"/>
          <a:ext cx="1773208" cy="603250"/>
        </a:xfrm>
        <a:prstGeom prst="roundRect">
          <a:avLst/>
        </a:prstGeom>
        <a:solidFill>
          <a:srgbClr val="1E81B0"/>
        </a:soli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ED04FDCC-30CA-564E-BB9A-DD4B50114546}" type="TxLink">
            <a:rPr lang="en-US" sz="16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 S/ 3,626,162.30 </a:t>
          </a:fld>
          <a:endParaRPr lang="es-MX" sz="16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0</xdr:col>
      <xdr:colOff>545220</xdr:colOff>
      <xdr:row>0</xdr:row>
      <xdr:rowOff>89367</xdr:rowOff>
    </xdr:from>
    <xdr:to>
      <xdr:col>2</xdr:col>
      <xdr:colOff>190362</xdr:colOff>
      <xdr:row>1</xdr:row>
      <xdr:rowOff>83497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545220" y="89367"/>
          <a:ext cx="1296142" cy="1952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000" b="1"/>
            <a:t>Total</a:t>
          </a:r>
          <a:r>
            <a:rPr lang="es-MX" sz="1000" b="1" baseline="0"/>
            <a:t> CxC Soles</a:t>
          </a:r>
          <a:endParaRPr lang="es-MX" sz="1000" b="1"/>
        </a:p>
      </xdr:txBody>
    </xdr:sp>
    <xdr:clientData/>
  </xdr:twoCellAnchor>
  <xdr:twoCellAnchor editAs="absolute">
    <xdr:from>
      <xdr:col>13</xdr:col>
      <xdr:colOff>121648</xdr:colOff>
      <xdr:row>0</xdr:row>
      <xdr:rowOff>82720</xdr:rowOff>
    </xdr:from>
    <xdr:to>
      <xdr:col>15</xdr:col>
      <xdr:colOff>256685</xdr:colOff>
      <xdr:row>3</xdr:row>
      <xdr:rowOff>82720</xdr:rowOff>
    </xdr:to>
    <xdr:grpSp>
      <xdr:nvGrpSpPr>
        <xdr:cNvPr id="17" name="Grup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10919188" y="82720"/>
          <a:ext cx="1796197" cy="594360"/>
          <a:chOff x="2333843" y="62331"/>
          <a:chExt cx="1780957" cy="609600"/>
        </a:xfrm>
      </xdr:grpSpPr>
      <xdr:sp macro="" textlink="'TABLAS DINAMICAS'!P35">
        <xdr:nvSpPr>
          <xdr:cNvPr id="4" name="Rectángulo redondeado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2333843" y="62331"/>
            <a:ext cx="1645480" cy="609600"/>
          </a:xfrm>
          <a:prstGeom prst="roundRect">
            <a:avLst/>
          </a:prstGeom>
          <a:solidFill>
            <a:srgbClr val="1E81B0"/>
          </a:solidFill>
          <a:ln>
            <a:noFill/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fld id="{A75594FF-21D4-C145-873C-1D2C3F66CC26}" type="TxLink">
              <a:rPr lang="en-US" sz="16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rPr>
              <a:pPr marL="0" indent="0" algn="ctr"/>
              <a:t>$1,089,937.92</a:t>
            </a:fld>
            <a:endParaRPr lang="es-MX" sz="16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endParaRPr>
          </a:p>
        </xdr:txBody>
      </xdr:sp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 txBox="1"/>
        </xdr:nvSpPr>
        <xdr:spPr>
          <a:xfrm>
            <a:off x="2601515" y="62331"/>
            <a:ext cx="1513285" cy="2412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1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Total CxC Dólares</a:t>
            </a:r>
          </a:p>
        </xdr:txBody>
      </xdr:sp>
    </xdr:grpSp>
    <xdr:clientData/>
  </xdr:twoCellAnchor>
  <xdr:twoCellAnchor editAs="absolute">
    <xdr:from>
      <xdr:col>0</xdr:col>
      <xdr:colOff>0</xdr:colOff>
      <xdr:row>4</xdr:row>
      <xdr:rowOff>78395</xdr:rowOff>
    </xdr:from>
    <xdr:to>
      <xdr:col>6</xdr:col>
      <xdr:colOff>0</xdr:colOff>
      <xdr:row>13</xdr:row>
      <xdr:rowOff>0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0" y="891195"/>
          <a:ext cx="4937760" cy="1750405"/>
        </a:xfrm>
        <a:prstGeom prst="rect">
          <a:avLst/>
        </a:prstGeom>
        <a:solidFill>
          <a:schemeClr val="bg2">
            <a:lumMod val="1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0" rtlCol="0" anchor="t"/>
        <a:lstStyle/>
        <a:p>
          <a:pPr marL="0" indent="0" algn="l"/>
          <a:endParaRPr lang="es-MX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0</xdr:colOff>
      <xdr:row>4</xdr:row>
      <xdr:rowOff>182879</xdr:rowOff>
    </xdr:from>
    <xdr:to>
      <xdr:col>6</xdr:col>
      <xdr:colOff>50800</xdr:colOff>
      <xdr:row>12</xdr:row>
      <xdr:rowOff>182880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6</xdr:col>
      <xdr:colOff>69695</xdr:colOff>
      <xdr:row>4</xdr:row>
      <xdr:rowOff>77439</xdr:rowOff>
    </xdr:from>
    <xdr:to>
      <xdr:col>12</xdr:col>
      <xdr:colOff>60961</xdr:colOff>
      <xdr:row>13</xdr:row>
      <xdr:rowOff>903</xdr:rowOff>
    </xdr:to>
    <xdr:sp macro="" textlink="">
      <xdr:nvSpPr>
        <xdr:cNvPr id="19" name="Rectángul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5007455" y="890239"/>
          <a:ext cx="4929026" cy="1752264"/>
        </a:xfrm>
        <a:prstGeom prst="rect">
          <a:avLst/>
        </a:prstGeom>
        <a:solidFill>
          <a:schemeClr val="bg2">
            <a:lumMod val="1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0" rtlCol="0" anchor="t"/>
        <a:lstStyle/>
        <a:p>
          <a:pPr marL="0" indent="0" algn="l"/>
          <a:endParaRPr lang="es-MX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35860</xdr:colOff>
      <xdr:row>4</xdr:row>
      <xdr:rowOff>137458</xdr:rowOff>
    </xdr:from>
    <xdr:to>
      <xdr:col>12</xdr:col>
      <xdr:colOff>101600</xdr:colOff>
      <xdr:row>13</xdr:row>
      <xdr:rowOff>25400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0</xdr:col>
      <xdr:colOff>0</xdr:colOff>
      <xdr:row>13</xdr:row>
      <xdr:rowOff>63500</xdr:rowOff>
    </xdr:from>
    <xdr:to>
      <xdr:col>3</xdr:col>
      <xdr:colOff>50800</xdr:colOff>
      <xdr:row>29</xdr:row>
      <xdr:rowOff>40640</xdr:rowOff>
    </xdr:to>
    <xdr:sp macro="" textlink="">
      <xdr:nvSpPr>
        <xdr:cNvPr id="104" name="Rectángulo 103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SpPr/>
      </xdr:nvSpPr>
      <xdr:spPr>
        <a:xfrm flipV="1">
          <a:off x="0" y="2679839"/>
          <a:ext cx="2528341" cy="3197249"/>
        </a:xfrm>
        <a:prstGeom prst="rect">
          <a:avLst/>
        </a:prstGeom>
        <a:solidFill>
          <a:schemeClr val="bg2">
            <a:lumMod val="1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MX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248072</xdr:colOff>
      <xdr:row>13</xdr:row>
      <xdr:rowOff>152400</xdr:rowOff>
    </xdr:from>
    <xdr:to>
      <xdr:col>2</xdr:col>
      <xdr:colOff>522392</xdr:colOff>
      <xdr:row>14</xdr:row>
      <xdr:rowOff>174504</xdr:rowOff>
    </xdr:to>
    <xdr:sp macro="" textlink="">
      <xdr:nvSpPr>
        <xdr:cNvPr id="105" name="Rectángulo redondeado 104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SpPr/>
      </xdr:nvSpPr>
      <xdr:spPr>
        <a:xfrm>
          <a:off x="248072" y="2766483"/>
          <a:ext cx="1925320" cy="223188"/>
        </a:xfrm>
        <a:prstGeom prst="roundRect">
          <a:avLst/>
        </a:prstGeom>
        <a:solidFill>
          <a:schemeClr val="accent2">
            <a:lumMod val="20000"/>
            <a:lumOff val="80000"/>
            <a:alpha val="51701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baseline="0"/>
            <a:t> </a:t>
          </a:r>
          <a:endParaRPr lang="es-MX" sz="2000" b="0"/>
        </a:p>
      </xdr:txBody>
    </xdr:sp>
    <xdr:clientData/>
  </xdr:twoCellAnchor>
  <xdr:twoCellAnchor editAs="absolute">
    <xdr:from>
      <xdr:col>0</xdr:col>
      <xdr:colOff>443416</xdr:colOff>
      <xdr:row>13</xdr:row>
      <xdr:rowOff>157332</xdr:rowOff>
    </xdr:from>
    <xdr:to>
      <xdr:col>2</xdr:col>
      <xdr:colOff>309420</xdr:colOff>
      <xdr:row>14</xdr:row>
      <xdr:rowOff>164809</xdr:rowOff>
    </xdr:to>
    <xdr:sp macro="" textlink="">
      <xdr:nvSpPr>
        <xdr:cNvPr id="107" name="CuadroTexto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443416" y="2771415"/>
          <a:ext cx="1517004" cy="2085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900" b="1" i="0">
              <a:solidFill>
                <a:schemeClr val="bg1"/>
              </a:solidFill>
            </a:rPr>
            <a:t>Vencimiento</a:t>
          </a:r>
          <a:r>
            <a:rPr lang="es-MX" sz="900" b="1" i="0" baseline="0">
              <a:solidFill>
                <a:schemeClr val="bg1"/>
              </a:solidFill>
            </a:rPr>
            <a:t> por Soles</a:t>
          </a:r>
          <a:endParaRPr lang="es-MX" sz="900" b="1" i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0</xdr:col>
      <xdr:colOff>82338</xdr:colOff>
      <xdr:row>15</xdr:row>
      <xdr:rowOff>69438</xdr:rowOff>
    </xdr:from>
    <xdr:to>
      <xdr:col>1</xdr:col>
      <xdr:colOff>398220</xdr:colOff>
      <xdr:row>17</xdr:row>
      <xdr:rowOff>101600</xdr:rowOff>
    </xdr:to>
    <xdr:sp macro="[0]!CLIENTES_30_60_SOLES" textlink="'TABLAS DINAMICAS'!B15">
      <xdr:nvSpPr>
        <xdr:cNvPr id="108" name="Rectángulo redondeado 107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SpPr/>
      </xdr:nvSpPr>
      <xdr:spPr>
        <a:xfrm>
          <a:off x="82338" y="3117438"/>
          <a:ext cx="1138842" cy="438562"/>
        </a:xfrm>
        <a:prstGeom prst="roundRect">
          <a:avLst/>
        </a:prstGeom>
        <a:solidFill>
          <a:srgbClr val="1E81B0"/>
        </a:soli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FC62A7DE-0305-394C-AD71-3296502038B9}" type="TxLink">
            <a:rPr lang="en-US" sz="9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 S/ 263,117.00 </a:t>
          </a:fld>
          <a:endParaRPr lang="es-MX" sz="9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0</xdr:col>
      <xdr:colOff>90491</xdr:colOff>
      <xdr:row>15</xdr:row>
      <xdr:rowOff>98112</xdr:rowOff>
    </xdr:from>
    <xdr:to>
      <xdr:col>1</xdr:col>
      <xdr:colOff>211667</xdr:colOff>
      <xdr:row>16</xdr:row>
      <xdr:rowOff>84667</xdr:rowOff>
    </xdr:to>
    <xdr:sp macro="" textlink="">
      <xdr:nvSpPr>
        <xdr:cNvPr id="109" name="CuadroTexto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90491" y="3114362"/>
          <a:ext cx="946676" cy="1876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700" b="1">
              <a:solidFill>
                <a:schemeClr val="dk1"/>
              </a:solidFill>
              <a:latin typeface="+mn-lt"/>
              <a:ea typeface="+mn-ea"/>
              <a:cs typeface="+mn-cs"/>
            </a:rPr>
            <a:t>Ven:</a:t>
          </a:r>
          <a:r>
            <a:rPr lang="es-MX" sz="7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s-MX" sz="700" b="1">
              <a:solidFill>
                <a:schemeClr val="dk1"/>
              </a:solidFill>
              <a:latin typeface="+mn-lt"/>
              <a:ea typeface="+mn-ea"/>
              <a:cs typeface="+mn-cs"/>
            </a:rPr>
            <a:t>30 &lt;= 60 Días</a:t>
          </a:r>
        </a:p>
      </xdr:txBody>
    </xdr:sp>
    <xdr:clientData/>
  </xdr:twoCellAnchor>
  <xdr:twoCellAnchor editAs="absolute">
    <xdr:from>
      <xdr:col>1</xdr:col>
      <xdr:colOff>503872</xdr:colOff>
      <xdr:row>15</xdr:row>
      <xdr:rowOff>62258</xdr:rowOff>
    </xdr:from>
    <xdr:to>
      <xdr:col>2</xdr:col>
      <xdr:colOff>814917</xdr:colOff>
      <xdr:row>17</xdr:row>
      <xdr:rowOff>121920</xdr:rowOff>
    </xdr:to>
    <xdr:sp macro="[0]!CLIENTES_60_90_SOLES" textlink="'TABLAS DINAMICAS'!B16">
      <xdr:nvSpPr>
        <xdr:cNvPr id="110" name="Rectángulo redondeado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/>
      </xdr:nvSpPr>
      <xdr:spPr>
        <a:xfrm>
          <a:off x="1326832" y="3110258"/>
          <a:ext cx="1134005" cy="466062"/>
        </a:xfrm>
        <a:prstGeom prst="roundRect">
          <a:avLst/>
        </a:prstGeom>
        <a:solidFill>
          <a:srgbClr val="1E81B0"/>
        </a:soli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0673ADC9-3413-2F4A-A3D5-F6E7C6A40C65}" type="TxLink">
            <a:rPr lang="en-US" sz="9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 S/ 92,012.20 </a:t>
          </a:fld>
          <a:endParaRPr lang="es-MX" sz="9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1</xdr:col>
      <xdr:colOff>544480</xdr:colOff>
      <xdr:row>15</xdr:row>
      <xdr:rowOff>83433</xdr:rowOff>
    </xdr:from>
    <xdr:to>
      <xdr:col>2</xdr:col>
      <xdr:colOff>719667</xdr:colOff>
      <xdr:row>16</xdr:row>
      <xdr:rowOff>148168</xdr:rowOff>
    </xdr:to>
    <xdr:sp macro="" textlink="">
      <xdr:nvSpPr>
        <xdr:cNvPr id="111" name="CuadroTexto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1369980" y="3099683"/>
          <a:ext cx="1000687" cy="2658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700" b="1">
              <a:solidFill>
                <a:schemeClr val="dk1"/>
              </a:solidFill>
              <a:latin typeface="+mn-lt"/>
              <a:ea typeface="+mn-ea"/>
              <a:cs typeface="+mn-cs"/>
            </a:rPr>
            <a:t>Venc:</a:t>
          </a:r>
          <a:r>
            <a:rPr lang="es-MX" sz="7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s-MX" sz="700" b="1">
              <a:solidFill>
                <a:schemeClr val="dk1"/>
              </a:solidFill>
              <a:latin typeface="+mn-lt"/>
              <a:ea typeface="+mn-ea"/>
              <a:cs typeface="+mn-cs"/>
            </a:rPr>
            <a:t> 60 &lt;= 90 Días</a:t>
          </a:r>
        </a:p>
      </xdr:txBody>
    </xdr:sp>
    <xdr:clientData/>
  </xdr:twoCellAnchor>
  <xdr:twoCellAnchor editAs="absolute">
    <xdr:from>
      <xdr:col>0</xdr:col>
      <xdr:colOff>101600</xdr:colOff>
      <xdr:row>21</xdr:row>
      <xdr:rowOff>128743</xdr:rowOff>
    </xdr:from>
    <xdr:to>
      <xdr:col>1</xdr:col>
      <xdr:colOff>386080</xdr:colOff>
      <xdr:row>23</xdr:row>
      <xdr:rowOff>142240</xdr:rowOff>
    </xdr:to>
    <xdr:sp macro="[0]!CLIENTES_90_180_SOLES" textlink="'TABLAS DINAMICAS'!B17">
      <xdr:nvSpPr>
        <xdr:cNvPr id="112" name="Rectángulo redondeado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/>
      </xdr:nvSpPr>
      <xdr:spPr>
        <a:xfrm>
          <a:off x="101600" y="4395943"/>
          <a:ext cx="1107440" cy="419897"/>
        </a:xfrm>
        <a:prstGeom prst="roundRect">
          <a:avLst/>
        </a:prstGeom>
        <a:solidFill>
          <a:srgbClr val="1E81B0"/>
        </a:soli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7555C039-A255-1247-8722-FB9EBE762767}" type="TxLink">
            <a:rPr lang="en-US" sz="9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 S/ 91,626.64 </a:t>
          </a:fld>
          <a:endParaRPr lang="es-MX" sz="9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0</xdr:col>
      <xdr:colOff>171127</xdr:colOff>
      <xdr:row>21</xdr:row>
      <xdr:rowOff>170961</xdr:rowOff>
    </xdr:from>
    <xdr:to>
      <xdr:col>2</xdr:col>
      <xdr:colOff>325121</xdr:colOff>
      <xdr:row>23</xdr:row>
      <xdr:rowOff>10161</xdr:rowOff>
    </xdr:to>
    <xdr:sp macro="" textlink="">
      <xdr:nvSpPr>
        <xdr:cNvPr id="113" name="CuadroTexto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171127" y="4438161"/>
          <a:ext cx="1799914" cy="245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700" b="1">
              <a:solidFill>
                <a:schemeClr val="dk1"/>
              </a:solidFill>
              <a:latin typeface="+mn-lt"/>
              <a:ea typeface="+mn-ea"/>
              <a:cs typeface="+mn-cs"/>
            </a:rPr>
            <a:t>Venc: 90 &lt;= 180 Días</a:t>
          </a:r>
        </a:p>
      </xdr:txBody>
    </xdr:sp>
    <xdr:clientData/>
  </xdr:twoCellAnchor>
  <xdr:twoCellAnchor editAs="absolute">
    <xdr:from>
      <xdr:col>1</xdr:col>
      <xdr:colOff>467360</xdr:colOff>
      <xdr:row>21</xdr:row>
      <xdr:rowOff>111760</xdr:rowOff>
    </xdr:from>
    <xdr:to>
      <xdr:col>2</xdr:col>
      <xdr:colOff>812800</xdr:colOff>
      <xdr:row>23</xdr:row>
      <xdr:rowOff>152400</xdr:rowOff>
    </xdr:to>
    <xdr:sp macro="[0]!CLIENTES_180_360_SOLES" textlink="'TABLAS DINAMICAS'!B18">
      <xdr:nvSpPr>
        <xdr:cNvPr id="114" name="Rectángulo redondeado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/>
      </xdr:nvSpPr>
      <xdr:spPr>
        <a:xfrm>
          <a:off x="1290320" y="4378960"/>
          <a:ext cx="1168400" cy="447040"/>
        </a:xfrm>
        <a:prstGeom prst="roundRect">
          <a:avLst/>
        </a:prstGeom>
        <a:solidFill>
          <a:srgbClr val="1E81B0"/>
        </a:soli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E059FDD2-5FC2-FA43-8E4A-0D9FE56380AE}" type="TxLink">
            <a:rPr lang="en-US" sz="9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 S/ 451,620.11 </a:t>
          </a:fld>
          <a:endParaRPr lang="es-MX" sz="9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1</xdr:col>
      <xdr:colOff>517419</xdr:colOff>
      <xdr:row>21</xdr:row>
      <xdr:rowOff>161577</xdr:rowOff>
    </xdr:from>
    <xdr:to>
      <xdr:col>3</xdr:col>
      <xdr:colOff>304801</xdr:colOff>
      <xdr:row>22</xdr:row>
      <xdr:rowOff>162560</xdr:rowOff>
    </xdr:to>
    <xdr:sp macro="" textlink="">
      <xdr:nvSpPr>
        <xdr:cNvPr id="115" name="CuadroTexto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1340379" y="4428777"/>
          <a:ext cx="1433302" cy="2041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700" b="1">
              <a:solidFill>
                <a:schemeClr val="dk1"/>
              </a:solidFill>
              <a:latin typeface="+mn-lt"/>
              <a:ea typeface="+mn-ea"/>
              <a:cs typeface="+mn-cs"/>
            </a:rPr>
            <a:t>Venc: 180 &lt;= 360 Días</a:t>
          </a:r>
        </a:p>
      </xdr:txBody>
    </xdr:sp>
    <xdr:clientData/>
  </xdr:twoCellAnchor>
  <xdr:twoCellAnchor editAs="absolute">
    <xdr:from>
      <xdr:col>1</xdr:col>
      <xdr:colOff>449393</xdr:colOff>
      <xdr:row>17</xdr:row>
      <xdr:rowOff>88957</xdr:rowOff>
    </xdr:from>
    <xdr:to>
      <xdr:col>3</xdr:col>
      <xdr:colOff>5852</xdr:colOff>
      <xdr:row>21</xdr:row>
      <xdr:rowOff>175576</xdr:rowOff>
    </xdr:to>
    <xdr:graphicFrame macro="">
      <xdr:nvGraphicFramePr>
        <xdr:cNvPr id="117" name="Gráfico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62459</xdr:colOff>
      <xdr:row>17</xdr:row>
      <xdr:rowOff>85312</xdr:rowOff>
    </xdr:from>
    <xdr:to>
      <xdr:col>1</xdr:col>
      <xdr:colOff>419464</xdr:colOff>
      <xdr:row>21</xdr:row>
      <xdr:rowOff>152166</xdr:rowOff>
    </xdr:to>
    <xdr:grpSp>
      <xdr:nvGrpSpPr>
        <xdr:cNvPr id="124" name="Grupo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pSpPr/>
      </xdr:nvGrpSpPr>
      <xdr:grpSpPr>
        <a:xfrm>
          <a:off x="62459" y="3453352"/>
          <a:ext cx="1187585" cy="859334"/>
          <a:chOff x="62544" y="3520697"/>
          <a:chExt cx="1162275" cy="858565"/>
        </a:xfrm>
      </xdr:grpSpPr>
      <xdr:graphicFrame macro="">
        <xdr:nvGraphicFramePr>
          <xdr:cNvPr id="116" name="Gráfico 115">
            <a:extLst>
              <a:ext uri="{FF2B5EF4-FFF2-40B4-BE49-F238E27FC236}">
                <a16:creationId xmlns:a16="http://schemas.microsoft.com/office/drawing/2014/main" id="{00000000-0008-0000-0200-000074000000}"/>
              </a:ext>
            </a:extLst>
          </xdr:cNvPr>
          <xdr:cNvGraphicFramePr>
            <a:graphicFrameLocks/>
          </xdr:cNvGraphicFramePr>
        </xdr:nvGraphicFramePr>
        <xdr:xfrm>
          <a:off x="62544" y="3520697"/>
          <a:ext cx="1162275" cy="85856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'TABLAS DINAMICAS'!B36">
        <xdr:nvSpPr>
          <xdr:cNvPr id="120" name="CuadroTexto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 txBox="1"/>
        </xdr:nvSpPr>
        <xdr:spPr>
          <a:xfrm>
            <a:off x="401195" y="3791682"/>
            <a:ext cx="484142" cy="2930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9614C301-2BD0-2E4D-94DF-72A56B275F18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7%</a:t>
            </a:fld>
            <a:endParaRPr lang="es-MX" sz="11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2</xdr:col>
      <xdr:colOff>11935</xdr:colOff>
      <xdr:row>18</xdr:row>
      <xdr:rowOff>168687</xdr:rowOff>
    </xdr:from>
    <xdr:to>
      <xdr:col>2</xdr:col>
      <xdr:colOff>482482</xdr:colOff>
      <xdr:row>20</xdr:row>
      <xdr:rowOff>74043</xdr:rowOff>
    </xdr:to>
    <xdr:sp macro="" textlink="'TABLAS DINAMICAS'!B37">
      <xdr:nvSpPr>
        <xdr:cNvPr id="121" name="CuadroTexto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663714" y="3815067"/>
          <a:ext cx="470547" cy="310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5AACC44A-DED5-2A46-84C6-8A5C4D3FAC8B}" type="TxLink">
            <a:rPr lang="en-US" sz="11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3%</a:t>
          </a:fld>
          <a:endParaRPr lang="es-MX" sz="11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0</xdr:col>
      <xdr:colOff>61626</xdr:colOff>
      <xdr:row>23</xdr:row>
      <xdr:rowOff>127642</xdr:rowOff>
    </xdr:from>
    <xdr:to>
      <xdr:col>1</xdr:col>
      <xdr:colOff>450259</xdr:colOff>
      <xdr:row>28</xdr:row>
      <xdr:rowOff>3541</xdr:rowOff>
    </xdr:to>
    <xdr:grpSp>
      <xdr:nvGrpSpPr>
        <xdr:cNvPr id="145" name="Grupo 144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GrpSpPr/>
      </xdr:nvGrpSpPr>
      <xdr:grpSpPr>
        <a:xfrm>
          <a:off x="61626" y="4684402"/>
          <a:ext cx="1219213" cy="866499"/>
          <a:chOff x="27760" y="4885909"/>
          <a:chExt cx="1218366" cy="891899"/>
        </a:xfrm>
      </xdr:grpSpPr>
      <xdr:graphicFrame macro="">
        <xdr:nvGraphicFramePr>
          <xdr:cNvPr id="118" name="Gráfico 117">
            <a:extLst>
              <a:ext uri="{FF2B5EF4-FFF2-40B4-BE49-F238E27FC236}">
                <a16:creationId xmlns:a16="http://schemas.microsoft.com/office/drawing/2014/main" id="{00000000-0008-0000-0200-000076000000}"/>
              </a:ext>
            </a:extLst>
          </xdr:cNvPr>
          <xdr:cNvGraphicFramePr>
            <a:graphicFrameLocks/>
          </xdr:cNvGraphicFramePr>
        </xdr:nvGraphicFramePr>
        <xdr:xfrm>
          <a:off x="27760" y="4885909"/>
          <a:ext cx="1218366" cy="8918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'TABLAS DINAMICAS'!B38">
        <xdr:nvSpPr>
          <xdr:cNvPr id="122" name="CuadroTexto 121">
            <a:extLst>
              <a:ext uri="{FF2B5EF4-FFF2-40B4-BE49-F238E27FC236}">
                <a16:creationId xmlns:a16="http://schemas.microsoft.com/office/drawing/2014/main" id="{00000000-0008-0000-0200-00007A000000}"/>
              </a:ext>
            </a:extLst>
          </xdr:cNvPr>
          <xdr:cNvSpPr txBox="1"/>
        </xdr:nvSpPr>
        <xdr:spPr>
          <a:xfrm>
            <a:off x="359403" y="5225123"/>
            <a:ext cx="539730" cy="20381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68C7421D-942C-B045-A0D2-60A175D2631E}" type="TxLink">
              <a:rPr lang="en-US" sz="1100" b="1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pPr marL="0" indent="0" algn="ctr"/>
              <a:t>3%</a:t>
            </a:fld>
            <a:endParaRPr lang="es-MX" sz="11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endParaRPr>
          </a:p>
        </xdr:txBody>
      </xdr:sp>
    </xdr:grpSp>
    <xdr:clientData/>
  </xdr:twoCellAnchor>
  <xdr:twoCellAnchor editAs="absolute">
    <xdr:from>
      <xdr:col>1</xdr:col>
      <xdr:colOff>418397</xdr:colOff>
      <xdr:row>23</xdr:row>
      <xdr:rowOff>154147</xdr:rowOff>
    </xdr:from>
    <xdr:to>
      <xdr:col>2</xdr:col>
      <xdr:colOff>805491</xdr:colOff>
      <xdr:row>28</xdr:row>
      <xdr:rowOff>25407</xdr:rowOff>
    </xdr:to>
    <xdr:grpSp>
      <xdr:nvGrpSpPr>
        <xdr:cNvPr id="144" name="Grupo 14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GrpSpPr/>
      </xdr:nvGrpSpPr>
      <xdr:grpSpPr>
        <a:xfrm>
          <a:off x="1248977" y="4710907"/>
          <a:ext cx="1217674" cy="861860"/>
          <a:chOff x="1214264" y="4912414"/>
          <a:chExt cx="1216828" cy="887260"/>
        </a:xfrm>
      </xdr:grpSpPr>
      <xdr:graphicFrame macro="">
        <xdr:nvGraphicFramePr>
          <xdr:cNvPr id="119" name="Gráfico 118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aphicFramePr>
            <a:graphicFrameLocks/>
          </xdr:cNvGraphicFramePr>
        </xdr:nvGraphicFramePr>
        <xdr:xfrm>
          <a:off x="1214264" y="4912414"/>
          <a:ext cx="1216828" cy="8872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'TABLAS DINAMICAS'!B39">
        <xdr:nvSpPr>
          <xdr:cNvPr id="123" name="CuadroTexto 122">
            <a:extLst>
              <a:ext uri="{FF2B5EF4-FFF2-40B4-BE49-F238E27FC236}">
                <a16:creationId xmlns:a16="http://schemas.microsoft.com/office/drawing/2014/main" id="{00000000-0008-0000-0200-00007B000000}"/>
              </a:ext>
            </a:extLst>
          </xdr:cNvPr>
          <xdr:cNvSpPr txBox="1"/>
        </xdr:nvSpPr>
        <xdr:spPr>
          <a:xfrm>
            <a:off x="1503663" y="5177051"/>
            <a:ext cx="654944" cy="3297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DAB43684-4F3B-614C-B060-955D01F58011}" type="TxLink">
              <a:rPr lang="en-US" sz="1100" b="1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pPr marL="0" indent="0" algn="ctr"/>
              <a:t>12%</a:t>
            </a:fld>
            <a:endParaRPr lang="es-MX" sz="11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endParaRPr>
          </a:p>
        </xdr:txBody>
      </xdr:sp>
    </xdr:grpSp>
    <xdr:clientData/>
  </xdr:twoCellAnchor>
  <xdr:twoCellAnchor editAs="absolute">
    <xdr:from>
      <xdr:col>3</xdr:col>
      <xdr:colOff>81280</xdr:colOff>
      <xdr:row>13</xdr:row>
      <xdr:rowOff>62653</xdr:rowOff>
    </xdr:from>
    <xdr:to>
      <xdr:col>5</xdr:col>
      <xdr:colOff>812800</xdr:colOff>
      <xdr:row>29</xdr:row>
      <xdr:rowOff>39793</xdr:rowOff>
    </xdr:to>
    <xdr:sp macro="" textlink="">
      <xdr:nvSpPr>
        <xdr:cNvPr id="125" name="Rectángulo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SpPr/>
      </xdr:nvSpPr>
      <xdr:spPr>
        <a:xfrm flipV="1">
          <a:off x="2570480" y="2704253"/>
          <a:ext cx="2390987" cy="3228340"/>
        </a:xfrm>
        <a:prstGeom prst="rect">
          <a:avLst/>
        </a:prstGeom>
        <a:solidFill>
          <a:schemeClr val="bg2">
            <a:lumMod val="1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MX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268080</xdr:colOff>
      <xdr:row>13</xdr:row>
      <xdr:rowOff>165590</xdr:rowOff>
    </xdr:from>
    <xdr:to>
      <xdr:col>5</xdr:col>
      <xdr:colOff>542400</xdr:colOff>
      <xdr:row>14</xdr:row>
      <xdr:rowOff>187694</xdr:rowOff>
    </xdr:to>
    <xdr:sp macro="" textlink="">
      <xdr:nvSpPr>
        <xdr:cNvPr id="126" name="Rectángulo redondeado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SpPr/>
      </xdr:nvSpPr>
      <xdr:spPr>
        <a:xfrm>
          <a:off x="2741238" y="2772432"/>
          <a:ext cx="1923092" cy="222630"/>
        </a:xfrm>
        <a:prstGeom prst="roundRect">
          <a:avLst/>
        </a:prstGeom>
        <a:solidFill>
          <a:schemeClr val="accent2">
            <a:lumMod val="20000"/>
            <a:lumOff val="80000"/>
            <a:alpha val="51701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900" b="1" baseline="0"/>
            <a:t> Vencimiento por Dólares</a:t>
          </a:r>
        </a:p>
        <a:p>
          <a:pPr algn="ctr"/>
          <a:endParaRPr lang="es-MX" sz="900" b="1"/>
        </a:p>
      </xdr:txBody>
    </xdr:sp>
    <xdr:clientData/>
  </xdr:twoCellAnchor>
  <xdr:twoCellAnchor editAs="absolute">
    <xdr:from>
      <xdr:col>3</xdr:col>
      <xdr:colOff>153503</xdr:colOff>
      <xdr:row>15</xdr:row>
      <xdr:rowOff>67388</xdr:rowOff>
    </xdr:from>
    <xdr:to>
      <xdr:col>4</xdr:col>
      <xdr:colOff>374675</xdr:colOff>
      <xdr:row>17</xdr:row>
      <xdr:rowOff>124409</xdr:rowOff>
    </xdr:to>
    <xdr:sp macro="[0]!CLIENTES_30_60_DOLARES" textlink="'TABLAS DINAMICAS'!F15">
      <xdr:nvSpPr>
        <xdr:cNvPr id="127" name="Rectángulo redondeado 126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/>
      </xdr:nvSpPr>
      <xdr:spPr>
        <a:xfrm>
          <a:off x="2635112" y="3132905"/>
          <a:ext cx="1048375" cy="465757"/>
        </a:xfrm>
        <a:prstGeom prst="roundRect">
          <a:avLst/>
        </a:prstGeom>
        <a:solidFill>
          <a:srgbClr val="1E81B0"/>
        </a:soli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2374D7F2-768B-3C47-A763-F23EEB2AE247}" type="TxLink">
            <a:rPr lang="en-US" sz="9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$103,284.23 </a:t>
          </a:fld>
          <a:endParaRPr lang="es-MX" sz="9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3</xdr:col>
      <xdr:colOff>185346</xdr:colOff>
      <xdr:row>15</xdr:row>
      <xdr:rowOff>116300</xdr:rowOff>
    </xdr:from>
    <xdr:to>
      <xdr:col>4</xdr:col>
      <xdr:colOff>367418</xdr:colOff>
      <xdr:row>16</xdr:row>
      <xdr:rowOff>139369</xdr:rowOff>
    </xdr:to>
    <xdr:sp macro="" textlink="">
      <xdr:nvSpPr>
        <xdr:cNvPr id="128" name="CuadroTexto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 txBox="1"/>
      </xdr:nvSpPr>
      <xdr:spPr>
        <a:xfrm>
          <a:off x="2654226" y="3164300"/>
          <a:ext cx="1005032" cy="2262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700" b="1">
              <a:solidFill>
                <a:schemeClr val="dk1"/>
              </a:solidFill>
              <a:latin typeface="+mn-lt"/>
              <a:ea typeface="+mn-ea"/>
              <a:cs typeface="+mn-cs"/>
            </a:rPr>
            <a:t>Venc: 30 &lt;= 60 Días</a:t>
          </a:r>
        </a:p>
      </xdr:txBody>
    </xdr:sp>
    <xdr:clientData/>
  </xdr:twoCellAnchor>
  <xdr:twoCellAnchor editAs="absolute">
    <xdr:from>
      <xdr:col>4</xdr:col>
      <xdr:colOff>476209</xdr:colOff>
      <xdr:row>15</xdr:row>
      <xdr:rowOff>58510</xdr:rowOff>
    </xdr:from>
    <xdr:to>
      <xdr:col>5</xdr:col>
      <xdr:colOff>712982</xdr:colOff>
      <xdr:row>17</xdr:row>
      <xdr:rowOff>128114</xdr:rowOff>
    </xdr:to>
    <xdr:sp macro="[0]!CLIENTES_60_90_DOLARES" textlink="'TABLAS DINAMICAS'!F16">
      <xdr:nvSpPr>
        <xdr:cNvPr id="129" name="Rectángulo redondeado 128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/>
      </xdr:nvSpPr>
      <xdr:spPr>
        <a:xfrm>
          <a:off x="3773753" y="3066405"/>
          <a:ext cx="1061159" cy="470656"/>
        </a:xfrm>
        <a:prstGeom prst="roundRect">
          <a:avLst/>
        </a:prstGeom>
        <a:solidFill>
          <a:srgbClr val="1E81B0"/>
        </a:soli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489203B0-9851-2D4A-BD77-222FFE317439}" type="TxLink">
            <a:rPr lang="en-US" sz="9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$155,523.47 </a:t>
          </a:fld>
          <a:endParaRPr lang="es-MX" sz="9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4</xdr:col>
      <xdr:colOff>563561</xdr:colOff>
      <xdr:row>15</xdr:row>
      <xdr:rowOff>104728</xdr:rowOff>
    </xdr:from>
    <xdr:to>
      <xdr:col>5</xdr:col>
      <xdr:colOff>821578</xdr:colOff>
      <xdr:row>16</xdr:row>
      <xdr:rowOff>154673</xdr:rowOff>
    </xdr:to>
    <xdr:sp macro="" textlink="">
      <xdr:nvSpPr>
        <xdr:cNvPr id="130" name="CuadroTexto 129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 txBox="1"/>
      </xdr:nvSpPr>
      <xdr:spPr>
        <a:xfrm>
          <a:off x="3861105" y="3112623"/>
          <a:ext cx="1082403" cy="2504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700" b="1">
              <a:solidFill>
                <a:schemeClr val="dk1"/>
              </a:solidFill>
              <a:latin typeface="+mn-lt"/>
              <a:ea typeface="+mn-ea"/>
              <a:cs typeface="+mn-cs"/>
            </a:rPr>
            <a:t>Venc: 60 &lt;= 90 Días</a:t>
          </a:r>
        </a:p>
      </xdr:txBody>
    </xdr:sp>
    <xdr:clientData/>
  </xdr:twoCellAnchor>
  <xdr:twoCellAnchor editAs="absolute">
    <xdr:from>
      <xdr:col>3</xdr:col>
      <xdr:colOff>158715</xdr:colOff>
      <xdr:row>21</xdr:row>
      <xdr:rowOff>101601</xdr:rowOff>
    </xdr:from>
    <xdr:to>
      <xdr:col>4</xdr:col>
      <xdr:colOff>457200</xdr:colOff>
      <xdr:row>23</xdr:row>
      <xdr:rowOff>152401</xdr:rowOff>
    </xdr:to>
    <xdr:grpSp>
      <xdr:nvGrpSpPr>
        <xdr:cNvPr id="164" name="Grupo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GrpSpPr/>
      </xdr:nvGrpSpPr>
      <xdr:grpSpPr>
        <a:xfrm>
          <a:off x="2650455" y="4262121"/>
          <a:ext cx="1129065" cy="447040"/>
          <a:chOff x="2625621" y="4322752"/>
          <a:chExt cx="1120788" cy="452814"/>
        </a:xfrm>
      </xdr:grpSpPr>
      <xdr:sp macro="[0]!CLIENTES_90_180_DOLARES" textlink="'TABLAS DINAMICAS'!F17">
        <xdr:nvSpPr>
          <xdr:cNvPr id="131" name="Rectángulo redondeado 130">
            <a:extLst>
              <a:ext uri="{FF2B5EF4-FFF2-40B4-BE49-F238E27FC236}">
                <a16:creationId xmlns:a16="http://schemas.microsoft.com/office/drawing/2014/main" id="{00000000-0008-0000-0200-000083000000}"/>
              </a:ext>
            </a:extLst>
          </xdr:cNvPr>
          <xdr:cNvSpPr/>
        </xdr:nvSpPr>
        <xdr:spPr>
          <a:xfrm>
            <a:off x="2625621" y="4322752"/>
            <a:ext cx="1048217" cy="452814"/>
          </a:xfrm>
          <a:prstGeom prst="roundRect">
            <a:avLst/>
          </a:prstGeom>
          <a:solidFill>
            <a:srgbClr val="1E81B0"/>
          </a:solidFill>
          <a:ln>
            <a:noFill/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fld id="{C02152F0-8250-E34D-BE15-7C7A320FAEBC}" type="TxLink">
              <a:rPr lang="en-US" sz="9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rPr>
              <a:pPr marL="0" indent="0" algn="ctr"/>
              <a:t>$42,501.94 </a:t>
            </a:fld>
            <a:endParaRPr lang="es-MX" sz="9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endParaRPr>
          </a:p>
        </xdr:txBody>
      </xdr:sp>
      <xdr:sp macro="[0]!CLIENTES_90_180_DOLARES" textlink="">
        <xdr:nvSpPr>
          <xdr:cNvPr id="132" name="CuadroTexto 131">
            <a:extLst>
              <a:ext uri="{FF2B5EF4-FFF2-40B4-BE49-F238E27FC236}">
                <a16:creationId xmlns:a16="http://schemas.microsoft.com/office/drawing/2014/main" id="{00000000-0008-0000-0200-000084000000}"/>
              </a:ext>
            </a:extLst>
          </xdr:cNvPr>
          <xdr:cNvSpPr txBox="1"/>
        </xdr:nvSpPr>
        <xdr:spPr>
          <a:xfrm>
            <a:off x="2670246" y="4384227"/>
            <a:ext cx="1076163" cy="1658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7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Venc: 90 &lt;= 180 Días</a:t>
            </a:r>
          </a:p>
        </xdr:txBody>
      </xdr:sp>
    </xdr:grpSp>
    <xdr:clientData/>
  </xdr:twoCellAnchor>
  <xdr:twoCellAnchor editAs="absolute">
    <xdr:from>
      <xdr:col>4</xdr:col>
      <xdr:colOff>508000</xdr:colOff>
      <xdr:row>21</xdr:row>
      <xdr:rowOff>100538</xdr:rowOff>
    </xdr:from>
    <xdr:to>
      <xdr:col>5</xdr:col>
      <xdr:colOff>761999</xdr:colOff>
      <xdr:row>23</xdr:row>
      <xdr:rowOff>159657</xdr:rowOff>
    </xdr:to>
    <xdr:grpSp>
      <xdr:nvGrpSpPr>
        <xdr:cNvPr id="165" name="Grupo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GrpSpPr/>
      </xdr:nvGrpSpPr>
      <xdr:grpSpPr>
        <a:xfrm>
          <a:off x="3830320" y="4261058"/>
          <a:ext cx="1084579" cy="455359"/>
          <a:chOff x="3817697" y="4343493"/>
          <a:chExt cx="1081423" cy="463209"/>
        </a:xfrm>
      </xdr:grpSpPr>
      <xdr:sp macro="[0]!CLIENTES_180_360_DOLARES" textlink="'TABLAS DINAMICAS'!F18">
        <xdr:nvSpPr>
          <xdr:cNvPr id="133" name="Rectángulo redondeado 132">
            <a:extLst>
              <a:ext uri="{FF2B5EF4-FFF2-40B4-BE49-F238E27FC236}">
                <a16:creationId xmlns:a16="http://schemas.microsoft.com/office/drawing/2014/main" id="{00000000-0008-0000-0200-000085000000}"/>
              </a:ext>
            </a:extLst>
          </xdr:cNvPr>
          <xdr:cNvSpPr/>
        </xdr:nvSpPr>
        <xdr:spPr>
          <a:xfrm>
            <a:off x="3817697" y="4343493"/>
            <a:ext cx="1037882" cy="463209"/>
          </a:xfrm>
          <a:prstGeom prst="roundRect">
            <a:avLst/>
          </a:prstGeom>
          <a:solidFill>
            <a:srgbClr val="1E81B0"/>
          </a:solidFill>
          <a:ln>
            <a:noFill/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fld id="{736BF666-6AC9-9840-A11E-7ECC836D9AB0}" type="TxLink">
              <a:rPr lang="en-US" sz="9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rPr>
              <a:pPr marL="0" indent="0" algn="ctr"/>
              <a:t>$126,199.15 </a:t>
            </a:fld>
            <a:endParaRPr lang="es-MX" sz="9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endParaRPr>
          </a:p>
        </xdr:txBody>
      </xdr:sp>
      <xdr:sp macro="[0]!CLIENTES_180_360_DOLARES" textlink="">
        <xdr:nvSpPr>
          <xdr:cNvPr id="134" name="CuadroTexto 133">
            <a:extLst>
              <a:ext uri="{FF2B5EF4-FFF2-40B4-BE49-F238E27FC236}">
                <a16:creationId xmlns:a16="http://schemas.microsoft.com/office/drawing/2014/main" id="{00000000-0008-0000-0200-000086000000}"/>
              </a:ext>
            </a:extLst>
          </xdr:cNvPr>
          <xdr:cNvSpPr txBox="1"/>
        </xdr:nvSpPr>
        <xdr:spPr>
          <a:xfrm>
            <a:off x="3833039" y="4407891"/>
            <a:ext cx="1066081" cy="1814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7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Venc: 180 &lt;= 360 Días</a:t>
            </a:r>
          </a:p>
        </xdr:txBody>
      </xdr:sp>
    </xdr:grpSp>
    <xdr:clientData/>
  </xdr:twoCellAnchor>
  <xdr:twoCellAnchor editAs="absolute">
    <xdr:from>
      <xdr:col>3</xdr:col>
      <xdr:colOff>60761</xdr:colOff>
      <xdr:row>17</xdr:row>
      <xdr:rowOff>109108</xdr:rowOff>
    </xdr:from>
    <xdr:to>
      <xdr:col>4</xdr:col>
      <xdr:colOff>395043</xdr:colOff>
      <xdr:row>21</xdr:row>
      <xdr:rowOff>156533</xdr:rowOff>
    </xdr:to>
    <xdr:graphicFrame macro="">
      <xdr:nvGraphicFramePr>
        <xdr:cNvPr id="135" name="Gráfico 134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4</xdr:col>
      <xdr:colOff>422706</xdr:colOff>
      <xdr:row>17</xdr:row>
      <xdr:rowOff>104975</xdr:rowOff>
    </xdr:from>
    <xdr:to>
      <xdr:col>5</xdr:col>
      <xdr:colOff>759732</xdr:colOff>
      <xdr:row>21</xdr:row>
      <xdr:rowOff>152400</xdr:rowOff>
    </xdr:to>
    <xdr:graphicFrame macro="">
      <xdr:nvGraphicFramePr>
        <xdr:cNvPr id="136" name="Gráfico 135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3</xdr:col>
      <xdr:colOff>109360</xdr:colOff>
      <xdr:row>23</xdr:row>
      <xdr:rowOff>151059</xdr:rowOff>
    </xdr:from>
    <xdr:to>
      <xdr:col>4</xdr:col>
      <xdr:colOff>405792</xdr:colOff>
      <xdr:row>28</xdr:row>
      <xdr:rowOff>16934</xdr:rowOff>
    </xdr:to>
    <xdr:graphicFrame macro="">
      <xdr:nvGraphicFramePr>
        <xdr:cNvPr id="137" name="Gráfico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4</xdr:col>
      <xdr:colOff>473220</xdr:colOff>
      <xdr:row>23</xdr:row>
      <xdr:rowOff>142281</xdr:rowOff>
    </xdr:from>
    <xdr:to>
      <xdr:col>5</xdr:col>
      <xdr:colOff>753533</xdr:colOff>
      <xdr:row>27</xdr:row>
      <xdr:rowOff>165723</xdr:rowOff>
    </xdr:to>
    <xdr:graphicFrame macro="">
      <xdr:nvGraphicFramePr>
        <xdr:cNvPr id="138" name="Gráfico 137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3</xdr:col>
      <xdr:colOff>377290</xdr:colOff>
      <xdr:row>18</xdr:row>
      <xdr:rowOff>172649</xdr:rowOff>
    </xdr:from>
    <xdr:to>
      <xdr:col>4</xdr:col>
      <xdr:colOff>89284</xdr:colOff>
      <xdr:row>20</xdr:row>
      <xdr:rowOff>69272</xdr:rowOff>
    </xdr:to>
    <xdr:sp macro="" textlink="'TABLAS DINAMICAS'!F36">
      <xdr:nvSpPr>
        <xdr:cNvPr id="139" name="CuadroTexto 138"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SpPr txBox="1"/>
      </xdr:nvSpPr>
      <xdr:spPr>
        <a:xfrm>
          <a:off x="2866490" y="3830249"/>
          <a:ext cx="541727" cy="3030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1F202AE7-CD3C-D448-941A-3C4009A35D0E}" type="TxLink">
            <a:rPr lang="en-US" sz="11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9%</a:t>
          </a:fld>
          <a:endParaRPr lang="es-MX" sz="11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4</xdr:col>
      <xdr:colOff>726871</xdr:colOff>
      <xdr:row>18</xdr:row>
      <xdr:rowOff>181213</xdr:rowOff>
    </xdr:from>
    <xdr:to>
      <xdr:col>5</xdr:col>
      <xdr:colOff>482600</xdr:colOff>
      <xdr:row>20</xdr:row>
      <xdr:rowOff>59266</xdr:rowOff>
    </xdr:to>
    <xdr:sp macro="" textlink="'TABLAS DINAMICAS'!F37">
      <xdr:nvSpPr>
        <xdr:cNvPr id="140" name="CuadroTexto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SpPr txBox="1"/>
      </xdr:nvSpPr>
      <xdr:spPr>
        <a:xfrm>
          <a:off x="4045804" y="3838813"/>
          <a:ext cx="585463" cy="2844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ACBB7679-956B-B949-83AD-2C86ABCE3A76}" type="TxLink">
            <a:rPr lang="en-US" sz="11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14%</a:t>
          </a:fld>
          <a:endParaRPr lang="es-MX" sz="11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3</xdr:col>
      <xdr:colOff>484291</xdr:colOff>
      <xdr:row>25</xdr:row>
      <xdr:rowOff>34927</xdr:rowOff>
    </xdr:from>
    <xdr:to>
      <xdr:col>4</xdr:col>
      <xdr:colOff>78926</xdr:colOff>
      <xdr:row>26</xdr:row>
      <xdr:rowOff>121977</xdr:rowOff>
    </xdr:to>
    <xdr:sp macro="" textlink="'TABLAS DINAMICAS'!F38">
      <xdr:nvSpPr>
        <xdr:cNvPr id="141" name="CuadroTexto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SpPr txBox="1"/>
      </xdr:nvSpPr>
      <xdr:spPr>
        <a:xfrm>
          <a:off x="2959715" y="5057526"/>
          <a:ext cx="419776" cy="2879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7C1AF369-72AA-FD49-B5D3-6CDA698766D3}" type="TxLink">
            <a:rPr lang="en-US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4%</a:t>
          </a:fld>
          <a:endParaRPr lang="es-MX" sz="1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4</xdr:col>
      <xdr:colOff>825019</xdr:colOff>
      <xdr:row>25</xdr:row>
      <xdr:rowOff>2737</xdr:rowOff>
    </xdr:from>
    <xdr:to>
      <xdr:col>5</xdr:col>
      <xdr:colOff>423333</xdr:colOff>
      <xdr:row>26</xdr:row>
      <xdr:rowOff>78926</xdr:rowOff>
    </xdr:to>
    <xdr:sp macro="" textlink="'TABLAS DINAMICAS'!F39">
      <xdr:nvSpPr>
        <xdr:cNvPr id="142" name="CuadroTexto 141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SpPr txBox="1"/>
      </xdr:nvSpPr>
      <xdr:spPr>
        <a:xfrm>
          <a:off x="4125584" y="5025336"/>
          <a:ext cx="423455" cy="2770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F5B879DF-201E-F647-A5B5-9D4BBD617F24}" type="TxLink">
            <a:rPr lang="en-US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12%</a:t>
          </a:fld>
          <a:endParaRPr lang="es-MX" sz="1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6</xdr:col>
      <xdr:colOff>64687</xdr:colOff>
      <xdr:row>13</xdr:row>
      <xdr:rowOff>60157</xdr:rowOff>
    </xdr:from>
    <xdr:to>
      <xdr:col>9</xdr:col>
      <xdr:colOff>7426</xdr:colOff>
      <xdr:row>29</xdr:row>
      <xdr:rowOff>37297</xdr:rowOff>
    </xdr:to>
    <xdr:sp macro="" textlink="">
      <xdr:nvSpPr>
        <xdr:cNvPr id="148" name="Rectángulo 147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SpPr/>
      </xdr:nvSpPr>
      <xdr:spPr>
        <a:xfrm flipV="1">
          <a:off x="5031294" y="2713550"/>
          <a:ext cx="2426043" cy="3242854"/>
        </a:xfrm>
        <a:prstGeom prst="rect">
          <a:avLst/>
        </a:prstGeom>
        <a:solidFill>
          <a:schemeClr val="bg2">
            <a:lumMod val="1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MX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9</xdr:col>
      <xdr:colOff>44561</xdr:colOff>
      <xdr:row>13</xdr:row>
      <xdr:rowOff>59415</xdr:rowOff>
    </xdr:from>
    <xdr:to>
      <xdr:col>12</xdr:col>
      <xdr:colOff>63099</xdr:colOff>
      <xdr:row>29</xdr:row>
      <xdr:rowOff>36555</xdr:rowOff>
    </xdr:to>
    <xdr:sp macro="" textlink="">
      <xdr:nvSpPr>
        <xdr:cNvPr id="149" name="Rectángulo 148">
          <a:extLst>
            <a:ext uri="{FF2B5EF4-FFF2-40B4-BE49-F238E27FC236}">
              <a16:creationId xmlns:a16="http://schemas.microsoft.com/office/drawing/2014/main" id="{00000000-0008-0000-0200-000095000000}"/>
            </a:ext>
          </a:extLst>
        </xdr:cNvPr>
        <xdr:cNvSpPr/>
      </xdr:nvSpPr>
      <xdr:spPr>
        <a:xfrm flipV="1">
          <a:off x="7464035" y="2666257"/>
          <a:ext cx="2491696" cy="3185561"/>
        </a:xfrm>
        <a:prstGeom prst="rect">
          <a:avLst/>
        </a:prstGeom>
        <a:solidFill>
          <a:schemeClr val="bg2">
            <a:lumMod val="1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MX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285905</xdr:colOff>
      <xdr:row>13</xdr:row>
      <xdr:rowOff>156232</xdr:rowOff>
    </xdr:from>
    <xdr:to>
      <xdr:col>8</xdr:col>
      <xdr:colOff>560225</xdr:colOff>
      <xdr:row>14</xdr:row>
      <xdr:rowOff>178336</xdr:rowOff>
    </xdr:to>
    <xdr:sp macro="" textlink="">
      <xdr:nvSpPr>
        <xdr:cNvPr id="150" name="Rectángulo redondeado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SpPr/>
      </xdr:nvSpPr>
      <xdr:spPr>
        <a:xfrm>
          <a:off x="5264305" y="2797832"/>
          <a:ext cx="1933787" cy="225304"/>
        </a:xfrm>
        <a:prstGeom prst="roundRect">
          <a:avLst/>
        </a:prstGeom>
        <a:solidFill>
          <a:schemeClr val="accent2">
            <a:lumMod val="20000"/>
            <a:lumOff val="80000"/>
            <a:alpha val="51701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900" b="1" baseline="0"/>
            <a:t>Fluctuación Clientes / Soles</a:t>
          </a:r>
        </a:p>
        <a:p>
          <a:pPr algn="ctr"/>
          <a:endParaRPr lang="es-MX" sz="900" b="1"/>
        </a:p>
      </xdr:txBody>
    </xdr:sp>
    <xdr:clientData/>
  </xdr:twoCellAnchor>
  <xdr:twoCellAnchor editAs="absolute">
    <xdr:from>
      <xdr:col>9</xdr:col>
      <xdr:colOff>328238</xdr:colOff>
      <xdr:row>13</xdr:row>
      <xdr:rowOff>147765</xdr:rowOff>
    </xdr:from>
    <xdr:to>
      <xdr:col>11</xdr:col>
      <xdr:colOff>602558</xdr:colOff>
      <xdr:row>14</xdr:row>
      <xdr:rowOff>169869</xdr:rowOff>
    </xdr:to>
    <xdr:sp macro="" textlink="">
      <xdr:nvSpPr>
        <xdr:cNvPr id="151" name="Rectángulo redondeado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SpPr/>
      </xdr:nvSpPr>
      <xdr:spPr>
        <a:xfrm>
          <a:off x="7795838" y="2789365"/>
          <a:ext cx="1933787" cy="225304"/>
        </a:xfrm>
        <a:prstGeom prst="roundRect">
          <a:avLst/>
        </a:prstGeom>
        <a:solidFill>
          <a:schemeClr val="accent2">
            <a:lumMod val="20000"/>
            <a:lumOff val="80000"/>
            <a:alpha val="51701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900" b="1" baseline="0"/>
            <a:t>Fluctuación Clientes / Dólares</a:t>
          </a:r>
        </a:p>
        <a:p>
          <a:pPr algn="ctr"/>
          <a:endParaRPr lang="es-MX" sz="900" b="1"/>
        </a:p>
      </xdr:txBody>
    </xdr:sp>
    <xdr:clientData/>
  </xdr:twoCellAnchor>
  <xdr:twoCellAnchor editAs="absolute">
    <xdr:from>
      <xdr:col>5</xdr:col>
      <xdr:colOff>723576</xdr:colOff>
      <xdr:row>15</xdr:row>
      <xdr:rowOff>136072</xdr:rowOff>
    </xdr:from>
    <xdr:to>
      <xdr:col>9</xdr:col>
      <xdr:colOff>136070</xdr:colOff>
      <xdr:row>29</xdr:row>
      <xdr:rowOff>45358</xdr:rowOff>
    </xdr:to>
    <xdr:graphicFrame macro="">
      <xdr:nvGraphicFramePr>
        <xdr:cNvPr id="154" name="Gráfico 153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8</xdr:col>
      <xdr:colOff>711556</xdr:colOff>
      <xdr:row>15</xdr:row>
      <xdr:rowOff>31792</xdr:rowOff>
    </xdr:from>
    <xdr:to>
      <xdr:col>12</xdr:col>
      <xdr:colOff>240061</xdr:colOff>
      <xdr:row>29</xdr:row>
      <xdr:rowOff>86592</xdr:rowOff>
    </xdr:to>
    <xdr:graphicFrame macro="">
      <xdr:nvGraphicFramePr>
        <xdr:cNvPr id="155" name="Gráfico 154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12</xdr:col>
      <xdr:colOff>172720</xdr:colOff>
      <xdr:row>4</xdr:row>
      <xdr:rowOff>121920</xdr:rowOff>
    </xdr:from>
    <xdr:to>
      <xdr:col>15</xdr:col>
      <xdr:colOff>172720</xdr:colOff>
      <xdr:row>28</xdr:row>
      <xdr:rowOff>111760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7" name="ZONA CLIENTE">
              <a:extLst>
                <a:ext uri="{FF2B5EF4-FFF2-40B4-BE49-F238E27FC236}">
                  <a16:creationId xmlns:a16="http://schemas.microsoft.com/office/drawing/2014/main" id="{00000000-0008-0000-0200-00009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ZONA 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90815" y="928269"/>
              <a:ext cx="2479524" cy="48279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 editAs="absolute">
    <xdr:from>
      <xdr:col>4</xdr:col>
      <xdr:colOff>635741</xdr:colOff>
      <xdr:row>0</xdr:row>
      <xdr:rowOff>202459</xdr:rowOff>
    </xdr:from>
    <xdr:to>
      <xdr:col>5</xdr:col>
      <xdr:colOff>339407</xdr:colOff>
      <xdr:row>3</xdr:row>
      <xdr:rowOff>9207</xdr:rowOff>
    </xdr:to>
    <xdr:pic macro="[0]!ACTUALIZAR_TODO">
      <xdr:nvPicPr>
        <xdr:cNvPr id="163" name="Imagen 162" descr="Flecha Botón Actualizar · Gráficos vectoriales gratis en Pixabay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biLevel thresh="50000"/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ackgroundRemoval t="5512" b="94488" l="5051" r="95960">
                      <a14:foregroundMark x1="15152" y1="62992" x2="16162" y2="73228"/>
                      <a14:foregroundMark x1="87879" y1="30709" x2="87879" y2="30709"/>
                      <a14:foregroundMark x1="91919" y1="36220" x2="91919" y2="36220"/>
                      <a14:foregroundMark x1="92929" y1="39370" x2="92929" y2="39370"/>
                      <a14:foregroundMark x1="20202" y1="5512" x2="20202" y2="5512"/>
                      <a14:foregroundMark x1="92929" y1="41732" x2="92929" y2="41732"/>
                      <a14:foregroundMark x1="93939" y1="47244" x2="93939" y2="47244"/>
                      <a14:foregroundMark x1="95960" y1="49606" x2="95960" y2="49606"/>
                      <a14:foregroundMark x1="5051" y1="56693" x2="5051" y2="56693"/>
                      <a14:foregroundMark x1="75758" y1="94488" x2="75758" y2="94488"/>
                    </a14:backgroundRemoval>
                  </a14:imgEffect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8"/>
            </a:ext>
          </a:extLst>
        </a:blip>
        <a:stretch>
          <a:fillRect/>
        </a:stretch>
      </xdr:blipFill>
      <xdr:spPr>
        <a:xfrm rot="17547958">
          <a:off x="4013200" y="143933"/>
          <a:ext cx="416348" cy="5334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ck Lapa" refreshedDate="44918.735844328701" createdVersion="8" refreshedVersion="8" minRefreshableVersion="3" recordCount="996" xr:uid="{A7E1425F-A121-7840-9A49-40605BE3F2E0}">
  <cacheSource type="worksheet">
    <worksheetSource name="DATA"/>
  </cacheSource>
  <cacheFields count="12">
    <cacheField name="FECHA DE DESCUENTO" numFmtId="14">
      <sharedItems containsSemiMixedTypes="0" containsNonDate="0" containsDate="1" containsString="0" minDate="2019-01-10T00:00:00" maxDate="2022-12-15T00:00:00"/>
    </cacheField>
    <cacheField name="FECHA DE VENCIMIENTO" numFmtId="14">
      <sharedItems containsSemiMixedTypes="0" containsNonDate="0" containsDate="1" containsString="0" minDate="2018-10-22T00:00:00" maxDate="2023-04-07T00:00:00"/>
    </cacheField>
    <cacheField name="DIAS VENCIDOS" numFmtId="0">
      <sharedItems containsSemiMixedTypes="0" containsString="0" containsNumber="1" containsInteger="1" minValue="-112" maxValue="1515"/>
    </cacheField>
    <cacheField name="NUMERO DE FACTURA" numFmtId="0">
      <sharedItems containsMixedTypes="1" containsNumber="1" containsInteger="1" minValue="4272019" maxValue="6922019"/>
    </cacheField>
    <cacheField name="RUC" numFmtId="0">
      <sharedItems containsSemiMixedTypes="0" containsString="0" containsNumber="1" containsInteger="1" minValue="1" maxValue="20609990032"/>
    </cacheField>
    <cacheField name="RAZON SOCIAL" numFmtId="0">
      <sharedItems/>
    </cacheField>
    <cacheField name="ZONA CLIENTE" numFmtId="0">
      <sharedItems count="6">
        <s v="Sur Chico"/>
        <s v="Norte Chico"/>
        <s v="Oriente Centro"/>
        <s v="Sur Grande"/>
        <s v="Oficina"/>
        <s v="Norte Grande"/>
      </sharedItems>
    </cacheField>
    <cacheField name="MONEDA" numFmtId="0">
      <sharedItems containsBlank="1"/>
    </cacheField>
    <cacheField name="S/" numFmtId="43">
      <sharedItems containsSemiMixedTypes="0" containsString="0" containsNumber="1" minValue="0" maxValue="226560"/>
    </cacheField>
    <cacheField name="$$" numFmtId="43">
      <sharedItems containsSemiMixedTypes="0" containsString="0" containsNumber="1" minValue="0" maxValue="52554.61"/>
    </cacheField>
    <cacheField name="EDADES" numFmtId="0">
      <sharedItems count="6">
        <s v="180 &lt;= 360 DIAS"/>
        <s v="90 &lt;= 180 DIAS"/>
        <s v="60 &lt;= 90 DIAS"/>
        <s v="30 &lt;= 60 DIAS"/>
        <s v="15 &lt;= 30 DIAS"/>
        <s v="1-POR VENCER"/>
      </sharedItems>
    </cacheField>
    <cacheField name="FECHA VENCIMIENTO" numFmtId="0">
      <sharedItems count="12">
        <s v="10-Oct"/>
        <s v="02-Feb"/>
        <s v="03-Mar"/>
        <s v="04-Abr"/>
        <s v="05-May"/>
        <s v="06-Jun"/>
        <s v="08-Ago"/>
        <s v="09-Set"/>
        <s v="12-Dic"/>
        <s v="01-Ene"/>
        <s v="07-Jul"/>
        <s v="11-Nov"/>
      </sharedItems>
    </cacheField>
  </cacheFields>
  <extLst>
    <ext xmlns:x14="http://schemas.microsoft.com/office/spreadsheetml/2009/9/main" uri="{725AE2AE-9491-48be-B2B4-4EB974FC3084}">
      <x14:pivotCacheDefinition pivotCacheId="91169458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6">
  <r>
    <d v="2022-02-28T00:00:00"/>
    <d v="2018-10-22T00:00:00"/>
    <n v="1515"/>
    <s v="649-2018"/>
    <n v="20600109881"/>
    <s v="NUTRIPRODUCTOS SANTA ANA S.A.C."/>
    <x v="0"/>
    <s v="S/"/>
    <n v="1982.4"/>
    <n v="0"/>
    <x v="0"/>
    <x v="0"/>
  </r>
  <r>
    <d v="2019-01-10T00:00:00"/>
    <d v="2019-02-09T00:00:00"/>
    <n v="1405"/>
    <s v="08-FD01-00000059"/>
    <n v="20600728688"/>
    <s v="PECUARIA SAN FRANCISCO S.A.C."/>
    <x v="0"/>
    <s v="S/"/>
    <n v="712.13"/>
    <n v="0"/>
    <x v="0"/>
    <x v="1"/>
  </r>
  <r>
    <d v="2022-02-28T00:00:00"/>
    <d v="2019-03-09T00:00:00"/>
    <n v="1377"/>
    <s v="01-F001-00005880"/>
    <n v="20392846850"/>
    <s v="GRANJA AVICOLA SEIKEN S.A.C."/>
    <x v="1"/>
    <s v="S/"/>
    <n v="8450.32"/>
    <n v="0"/>
    <x v="0"/>
    <x v="2"/>
  </r>
  <r>
    <d v="2022-02-28T00:00:00"/>
    <d v="2019-03-29T00:00:00"/>
    <n v="1357"/>
    <s v="01-F001-00006324"/>
    <n v="20495009638"/>
    <s v="GRANJA DON AUGUSTO EMPRESA INDIVIDUAL DE RESPONSABILIDAD LIMITADA"/>
    <x v="0"/>
    <s v="S/"/>
    <n v="8252.11"/>
    <n v="0"/>
    <x v="0"/>
    <x v="2"/>
  </r>
  <r>
    <d v="2022-02-28T00:00:00"/>
    <d v="2019-04-20T00:00:00"/>
    <n v="1335"/>
    <s v="08-FD01-00000069"/>
    <n v="20495009638"/>
    <s v="GRANJA DON AUGUSTO EMPRESA INDIVIDUAL DE RESPONSABILIDAD LIMITADA"/>
    <x v="0"/>
    <s v="S/"/>
    <n v="279.37"/>
    <n v="0"/>
    <x v="0"/>
    <x v="3"/>
  </r>
  <r>
    <d v="2022-02-28T00:00:00"/>
    <d v="2019-05-12T00:00:00"/>
    <n v="1313"/>
    <s v="01-F001-00006889"/>
    <n v="20495009638"/>
    <s v="GRANJA DON AUGUSTO EMPRESA INDIVIDUAL DE RESPONSABILIDAD LIMITADA"/>
    <x v="0"/>
    <s v="S/"/>
    <n v="20797.5"/>
    <n v="0"/>
    <x v="0"/>
    <x v="4"/>
  </r>
  <r>
    <d v="2022-02-28T00:00:00"/>
    <d v="2019-06-14T00:00:00"/>
    <n v="1280"/>
    <s v="08-FD01-00000084"/>
    <n v="20495009638"/>
    <s v="GRANJA DON AUGUSTO EMPRESA INDIVIDUAL DE RESPONSABILIDAD LIMITADA"/>
    <x v="0"/>
    <s v="S/"/>
    <n v="279.37"/>
    <n v="0"/>
    <x v="0"/>
    <x v="5"/>
  </r>
  <r>
    <d v="2022-02-28T00:00:00"/>
    <d v="2019-08-17T00:00:00"/>
    <n v="1216"/>
    <s v="428-2019"/>
    <n v="20393180162"/>
    <s v="GRANJA AVICOLA LUCILA E.I.R.L."/>
    <x v="2"/>
    <s v="S/"/>
    <n v="1840.8"/>
    <n v="0"/>
    <x v="0"/>
    <x v="6"/>
  </r>
  <r>
    <d v="2022-02-28T00:00:00"/>
    <d v="2019-09-01T00:00:00"/>
    <n v="1201"/>
    <s v="429-2019"/>
    <n v="20393180162"/>
    <s v="GRANJA AVICOLA LUCILA E.I.R.L."/>
    <x v="2"/>
    <s v="S/"/>
    <n v="1840.8"/>
    <n v="0"/>
    <x v="0"/>
    <x v="7"/>
  </r>
  <r>
    <d v="2022-02-28T00:00:00"/>
    <d v="2019-09-08T00:00:00"/>
    <n v="1194"/>
    <n v="5132019"/>
    <n v="20393180162"/>
    <s v="GRANJA AVICOLA LUCILA E.I.R.L."/>
    <x v="2"/>
    <s v="US$"/>
    <n v="0"/>
    <n v="300.89999999999998"/>
    <x v="0"/>
    <x v="7"/>
  </r>
  <r>
    <d v="2022-02-28T00:00:00"/>
    <d v="2019-09-16T00:00:00"/>
    <n v="1186"/>
    <n v="4492019"/>
    <n v="20393180162"/>
    <s v="GRANJA AVICOLA LUCILA E.I.R.L."/>
    <x v="2"/>
    <s v="US$"/>
    <n v="0"/>
    <n v="531"/>
    <x v="0"/>
    <x v="7"/>
  </r>
  <r>
    <d v="2022-02-28T00:00:00"/>
    <d v="2019-10-07T00:00:00"/>
    <n v="1165"/>
    <n v="6642019"/>
    <n v="20508029731"/>
    <s v="NEGOCIOS E INVERSIONES AGROPECUARIAS SAC"/>
    <x v="1"/>
    <s v="US$"/>
    <n v="0"/>
    <n v="623.04"/>
    <x v="0"/>
    <x v="0"/>
  </r>
  <r>
    <d v="2022-02-28T00:00:00"/>
    <d v="2019-12-08T00:00:00"/>
    <n v="1103"/>
    <s v="628-2019"/>
    <n v="20508029731"/>
    <s v="NEGOCIOS E INVERSIONES AGROPECUARIAS SAC"/>
    <x v="1"/>
    <s v="S/"/>
    <n v="354"/>
    <n v="0"/>
    <x v="0"/>
    <x v="8"/>
  </r>
  <r>
    <d v="2022-02-28T00:00:00"/>
    <d v="2019-12-23T00:00:00"/>
    <n v="1088"/>
    <n v="6262019"/>
    <n v="20533334271"/>
    <s v="AVES Y PORCINOS S.A.C."/>
    <x v="3"/>
    <s v="US$"/>
    <n v="0"/>
    <n v="132.75"/>
    <x v="0"/>
    <x v="8"/>
  </r>
  <r>
    <d v="2022-02-28T00:00:00"/>
    <d v="2019-12-28T00:00:00"/>
    <n v="1083"/>
    <s v="01-F001-00009440"/>
    <n v="20390221500"/>
    <s v="GRANJA AVICOLA SYM S.A."/>
    <x v="1"/>
    <s v="S/"/>
    <n v="18366.7"/>
    <n v="0"/>
    <x v="0"/>
    <x v="8"/>
  </r>
  <r>
    <d v="2022-02-28T00:00:00"/>
    <d v="2019-12-29T00:00:00"/>
    <n v="1082"/>
    <s v="01-F001-00009824"/>
    <n v="20563755629"/>
    <s v="ADITIVOS ESENCIALES SOCIEDAD ANONIMA CERRADA"/>
    <x v="4"/>
    <s v="S/"/>
    <n v="442.6"/>
    <n v="0"/>
    <x v="0"/>
    <x v="8"/>
  </r>
  <r>
    <d v="2022-02-28T00:00:00"/>
    <d v="2019-12-29T00:00:00"/>
    <n v="1082"/>
    <n v="6382019"/>
    <n v="20533334271"/>
    <s v="AVES Y PORCINOS S.A.C."/>
    <x v="3"/>
    <s v="US$"/>
    <n v="0"/>
    <n v="212.4"/>
    <x v="0"/>
    <x v="8"/>
  </r>
  <r>
    <d v="2022-02-28T00:00:00"/>
    <d v="2020-01-06T00:00:00"/>
    <n v="1074"/>
    <s v="08-FD01-00000104"/>
    <n v="20508029731"/>
    <s v="NEGOCIOS E INVERSIONES AGROPECUARIAS SAC"/>
    <x v="1"/>
    <s v="US$"/>
    <n v="0"/>
    <n v="40.1"/>
    <x v="0"/>
    <x v="9"/>
  </r>
  <r>
    <d v="2022-02-28T00:00:00"/>
    <d v="2020-01-06T00:00:00"/>
    <n v="1074"/>
    <s v="08-FD01-00000105"/>
    <n v="20508029731"/>
    <s v="NEGOCIOS E INVERSIONES AGROPECUARIAS SAC"/>
    <x v="1"/>
    <s v="US$"/>
    <n v="0"/>
    <n v="49.75"/>
    <x v="0"/>
    <x v="9"/>
  </r>
  <r>
    <d v="2022-02-28T00:00:00"/>
    <d v="2020-01-08T00:00:00"/>
    <n v="1072"/>
    <s v="01-0001-00009601"/>
    <n v="20533334271"/>
    <s v="AVES Y PORCINOS S.A.C."/>
    <x v="3"/>
    <s v="S/"/>
    <n v="1348.03"/>
    <n v="0"/>
    <x v="0"/>
    <x v="9"/>
  </r>
  <r>
    <d v="2022-02-28T00:00:00"/>
    <d v="2020-01-09T00:00:00"/>
    <n v="1071"/>
    <s v="650-2019"/>
    <n v="20533334271"/>
    <s v="AVES Y PORCINOS S.A.C."/>
    <x v="3"/>
    <s v="S/"/>
    <n v="1604.8"/>
    <n v="0"/>
    <x v="0"/>
    <x v="9"/>
  </r>
  <r>
    <d v="2022-02-28T00:00:00"/>
    <d v="2020-01-12T00:00:00"/>
    <n v="1068"/>
    <s v="661-2019"/>
    <n v="20533334271"/>
    <s v="AVES Y PORCINOS S.A.C."/>
    <x v="3"/>
    <s v="S/"/>
    <n v="802.4"/>
    <n v="0"/>
    <x v="0"/>
    <x v="9"/>
  </r>
  <r>
    <d v="2022-02-28T00:00:00"/>
    <d v="2020-01-13T00:00:00"/>
    <n v="1067"/>
    <s v="01-F001-00009602"/>
    <n v="20533334271"/>
    <s v="AVES Y PORCINOS S.A.C."/>
    <x v="3"/>
    <s v="S/"/>
    <n v="2294.44"/>
    <n v="0"/>
    <x v="0"/>
    <x v="9"/>
  </r>
  <r>
    <d v="2022-02-28T00:00:00"/>
    <d v="2020-01-14T00:00:00"/>
    <n v="1066"/>
    <s v="01-F001-00010163"/>
    <n v="20307167442"/>
    <s v="COMISION DE PROMOCION DEL PERU PARA LA EXPORTACION Y EL TURISMO - PROMPERU"/>
    <x v="4"/>
    <s v="S/"/>
    <n v="219.11"/>
    <n v="0"/>
    <x v="0"/>
    <x v="9"/>
  </r>
  <r>
    <d v="2022-02-28T00:00:00"/>
    <d v="2020-01-20T00:00:00"/>
    <n v="1060"/>
    <n v="6702019"/>
    <n v="20533334271"/>
    <s v="AVES Y PORCINOS S.A.C."/>
    <x v="3"/>
    <s v="US$"/>
    <n v="0"/>
    <n v="181.43"/>
    <x v="0"/>
    <x v="9"/>
  </r>
  <r>
    <d v="2022-02-28T00:00:00"/>
    <d v="2020-01-25T00:00:00"/>
    <n v="1055"/>
    <s v="669-2019"/>
    <n v="20533334271"/>
    <s v="AVES Y PORCINOS S.A.C."/>
    <x v="3"/>
    <s v="S/"/>
    <n v="802.4"/>
    <n v="0"/>
    <x v="0"/>
    <x v="9"/>
  </r>
  <r>
    <d v="2022-02-28T00:00:00"/>
    <d v="2020-01-27T00:00:00"/>
    <n v="1053"/>
    <s v="679-2019"/>
    <n v="20533334271"/>
    <s v="AVES Y PORCINOS S.A.C."/>
    <x v="3"/>
    <s v="S/"/>
    <n v="1362.9"/>
    <n v="0"/>
    <x v="0"/>
    <x v="9"/>
  </r>
  <r>
    <d v="2022-02-28T00:00:00"/>
    <d v="2020-01-27T00:00:00"/>
    <n v="1053"/>
    <n v="6802019"/>
    <n v="20533334271"/>
    <s v="AVES Y PORCINOS S.A.C."/>
    <x v="3"/>
    <s v="US$"/>
    <n v="0"/>
    <n v="212.4"/>
    <x v="0"/>
    <x v="9"/>
  </r>
  <r>
    <d v="2022-02-28T00:00:00"/>
    <d v="2020-01-29T00:00:00"/>
    <n v="1051"/>
    <s v="08-FD01-00000103"/>
    <n v="20508029731"/>
    <s v="NEGOCIOS E INVERSIONES AGROPECUARIAS SAC"/>
    <x v="1"/>
    <s v="S/"/>
    <n v="86.73"/>
    <n v="0"/>
    <x v="0"/>
    <x v="9"/>
  </r>
  <r>
    <d v="2022-02-28T00:00:00"/>
    <d v="2020-02-01T00:00:00"/>
    <n v="1048"/>
    <s v="683-2019"/>
    <n v="20533334271"/>
    <s v="AVES Y PORCINOS S.A.C."/>
    <x v="3"/>
    <s v="S/"/>
    <n v="1155.46"/>
    <n v="0"/>
    <x v="0"/>
    <x v="1"/>
  </r>
  <r>
    <d v="2022-02-28T00:00:00"/>
    <d v="2020-02-01T00:00:00"/>
    <n v="1048"/>
    <s v="684-2019"/>
    <n v="20533334271"/>
    <s v="AVES Y PORCINOS S.A.C."/>
    <x v="3"/>
    <s v="S/"/>
    <n v="560.5"/>
    <n v="0"/>
    <x v="0"/>
    <x v="1"/>
  </r>
  <r>
    <d v="2022-02-28T00:00:00"/>
    <d v="2020-02-06T00:00:00"/>
    <n v="1043"/>
    <n v="6922019"/>
    <n v="20533334271"/>
    <s v="AVES Y PORCINOS S.A.C."/>
    <x v="3"/>
    <s v="US$"/>
    <n v="0"/>
    <n v="601.79999999999995"/>
    <x v="0"/>
    <x v="1"/>
  </r>
  <r>
    <d v="2022-02-28T00:00:00"/>
    <d v="2020-02-06T00:00:00"/>
    <n v="1043"/>
    <n v="6852019"/>
    <n v="20533334271"/>
    <s v="AVES Y PORCINOS S.A.C."/>
    <x v="3"/>
    <s v="US$"/>
    <n v="0"/>
    <n v="398.25"/>
    <x v="0"/>
    <x v="1"/>
  </r>
  <r>
    <d v="2022-02-28T00:00:00"/>
    <d v="2020-02-06T00:00:00"/>
    <n v="1043"/>
    <s v="691-2019"/>
    <n v="20533334271"/>
    <s v="AVES Y PORCINOS S.A.C."/>
    <x v="3"/>
    <s v="S/"/>
    <n v="560.5"/>
    <n v="0"/>
    <x v="0"/>
    <x v="1"/>
  </r>
  <r>
    <d v="2022-02-28T00:00:00"/>
    <d v="2020-02-06T00:00:00"/>
    <n v="1043"/>
    <n v="4272019"/>
    <n v="20393180162"/>
    <s v="GRANJA AVICOLA LUCILA E.I.R.L."/>
    <x v="2"/>
    <s v="US$"/>
    <n v="0"/>
    <n v="1032.5"/>
    <x v="0"/>
    <x v="1"/>
  </r>
  <r>
    <d v="2022-02-28T00:00:00"/>
    <d v="2020-02-16T00:00:00"/>
    <n v="1033"/>
    <s v="08-FD01-00000109"/>
    <n v="20533334271"/>
    <s v="AVES Y PORCINOS S.A.C."/>
    <x v="3"/>
    <s v="US$"/>
    <n v="0"/>
    <n v="41.21"/>
    <x v="0"/>
    <x v="1"/>
  </r>
  <r>
    <d v="2022-02-28T00:00:00"/>
    <d v="2020-02-16T00:00:00"/>
    <n v="1033"/>
    <s v="08-FD01-00000108"/>
    <n v="20533334271"/>
    <s v="AVES Y PORCINOS S.A.C."/>
    <x v="3"/>
    <s v="US$"/>
    <n v="0"/>
    <n v="36.96"/>
    <x v="0"/>
    <x v="1"/>
  </r>
  <r>
    <d v="2022-02-28T00:00:00"/>
    <d v="2020-03-06T00:00:00"/>
    <n v="1014"/>
    <s v="017-2020"/>
    <n v="20533334271"/>
    <s v="AVES Y PORCINOS S.A.C."/>
    <x v="3"/>
    <s v="S/"/>
    <n v="1348.03"/>
    <n v="0"/>
    <x v="0"/>
    <x v="2"/>
  </r>
  <r>
    <d v="2022-02-28T00:00:00"/>
    <d v="2020-03-08T00:00:00"/>
    <n v="1012"/>
    <s v="08-FD01-00000110"/>
    <n v="20533334271"/>
    <s v="AVES Y PORCINOS S.A.C."/>
    <x v="3"/>
    <s v="S/"/>
    <n v="44.56"/>
    <n v="0"/>
    <x v="0"/>
    <x v="2"/>
  </r>
  <r>
    <d v="2022-02-28T00:00:00"/>
    <d v="2020-03-08T00:00:00"/>
    <n v="1012"/>
    <s v="08-FD01-00000111"/>
    <n v="20533334271"/>
    <s v="AVES Y PORCINOS S.A.C."/>
    <x v="3"/>
    <s v="S/"/>
    <n v="64.13"/>
    <n v="0"/>
    <x v="0"/>
    <x v="2"/>
  </r>
  <r>
    <d v="2022-02-28T00:00:00"/>
    <d v="2020-03-20T00:00:00"/>
    <n v="1000"/>
    <s v="028-2020"/>
    <n v="20533334271"/>
    <s v="AVES Y PORCINOS S.A.C."/>
    <x v="3"/>
    <s v="S/"/>
    <n v="472"/>
    <n v="0"/>
    <x v="0"/>
    <x v="2"/>
  </r>
  <r>
    <d v="2022-02-28T00:00:00"/>
    <d v="2020-04-04T00:00:00"/>
    <n v="985"/>
    <s v="08-FD01-00000116"/>
    <n v="20533334271"/>
    <s v="AVES Y PORCINOS S.A.C."/>
    <x v="3"/>
    <s v="US$"/>
    <n v="0"/>
    <n v="38.159999999999997"/>
    <x v="0"/>
    <x v="3"/>
  </r>
  <r>
    <d v="2022-02-28T00:00:00"/>
    <d v="2020-04-04T00:00:00"/>
    <n v="985"/>
    <s v="08-FD01-00000115"/>
    <n v="20533334271"/>
    <s v="AVES Y PORCINOS S.A.C."/>
    <x v="3"/>
    <s v="US$"/>
    <n v="0"/>
    <n v="38.14"/>
    <x v="0"/>
    <x v="3"/>
  </r>
  <r>
    <d v="2022-02-28T00:00:00"/>
    <d v="2020-04-19T00:00:00"/>
    <n v="970"/>
    <s v="01-F001-00010940"/>
    <n v="20600888626"/>
    <s v="INVERSIONES AGROINDUSTRIALES EL TAHUAMPAL E.I.R.L."/>
    <x v="2"/>
    <s v="US$"/>
    <n v="0"/>
    <n v="2336.4"/>
    <x v="0"/>
    <x v="3"/>
  </r>
  <r>
    <d v="2022-02-28T00:00:00"/>
    <d v="2020-05-03T00:00:00"/>
    <n v="956"/>
    <s v="01-F001-00010901"/>
    <n v="20495190014"/>
    <s v="CORPORACION AGROPECUARIA YARELY &amp; C. VALENTIN S.A.C."/>
    <x v="0"/>
    <s v="US$"/>
    <n v="0"/>
    <n v="1589.46"/>
    <x v="0"/>
    <x v="4"/>
  </r>
  <r>
    <d v="2022-02-28T00:00:00"/>
    <d v="2020-05-21T00:00:00"/>
    <n v="938"/>
    <s v="01-F001-00011458"/>
    <n v="20189421941"/>
    <s v="AGROPECUARIA LOCK S.A"/>
    <x v="1"/>
    <s v="US$"/>
    <n v="0"/>
    <n v="354"/>
    <x v="0"/>
    <x v="4"/>
  </r>
  <r>
    <d v="2022-02-28T00:00:00"/>
    <d v="2020-06-08T00:00:00"/>
    <n v="920"/>
    <s v="01-F001-00011511"/>
    <n v="20600888626"/>
    <s v="INVERSIONES AGROINDUSTRIALES EL TAHUAMPAL E.I.R.L."/>
    <x v="2"/>
    <s v="US$"/>
    <n v="0"/>
    <n v="2053.1999999999998"/>
    <x v="0"/>
    <x v="5"/>
  </r>
  <r>
    <d v="2022-02-28T00:00:00"/>
    <d v="2020-06-18T00:00:00"/>
    <n v="910"/>
    <s v="01-F001-00011593"/>
    <n v="20600728688"/>
    <s v="PECUARIA SAN FRANCISCO S.A.C."/>
    <x v="0"/>
    <s v="S/"/>
    <n v="26148.799999999999"/>
    <n v="0"/>
    <x v="0"/>
    <x v="5"/>
  </r>
  <r>
    <d v="2022-02-28T00:00:00"/>
    <d v="2020-07-15T00:00:00"/>
    <n v="883"/>
    <s v="01-F001-00012114"/>
    <n v="20456221000"/>
    <s v="PRODMIL S.A.C."/>
    <x v="3"/>
    <s v="S/"/>
    <n v="316.5"/>
    <n v="0"/>
    <x v="0"/>
    <x v="10"/>
  </r>
  <r>
    <d v="2022-02-28T00:00:00"/>
    <d v="2020-07-16T00:00:00"/>
    <n v="882"/>
    <s v="01-F001-00012134"/>
    <n v="20600999312"/>
    <s v="GRANJA DON SEBAS S.A.C."/>
    <x v="5"/>
    <s v="S/"/>
    <n v="1931.39"/>
    <n v="0"/>
    <x v="0"/>
    <x v="10"/>
  </r>
  <r>
    <d v="2022-02-28T00:00:00"/>
    <d v="2020-07-24T00:00:00"/>
    <n v="874"/>
    <s v="01-F001-00012267"/>
    <n v="20392847155"/>
    <s v="CORPORACION AGROINDUSTRIAL SAN BERNARDO S.A.C."/>
    <x v="1"/>
    <s v="US$"/>
    <n v="0"/>
    <n v="115.64"/>
    <x v="0"/>
    <x v="10"/>
  </r>
  <r>
    <d v="2022-02-28T00:00:00"/>
    <d v="2020-07-24T00:00:00"/>
    <n v="874"/>
    <s v="01-F001-00012247"/>
    <n v="20392847155"/>
    <s v="CORPORACION AGROINDUSTRIAL SAN BERNARDO S.A.C."/>
    <x v="1"/>
    <s v="US$"/>
    <n v="0"/>
    <n v="1214.01"/>
    <x v="0"/>
    <x v="10"/>
  </r>
  <r>
    <d v="2022-02-28T00:00:00"/>
    <d v="2020-07-24T00:00:00"/>
    <n v="874"/>
    <s v="01-F001-00012066"/>
    <n v="20546145949"/>
    <s v="INVETCO S.A.C"/>
    <x v="1"/>
    <s v="US$"/>
    <n v="0"/>
    <n v="679.97"/>
    <x v="0"/>
    <x v="10"/>
  </r>
  <r>
    <d v="2022-02-28T00:00:00"/>
    <d v="2020-08-02T00:00:00"/>
    <n v="865"/>
    <s v="01-F001-00012419"/>
    <n v="20600888626"/>
    <s v="INVERSIONES AGROINDUSTRIALES EL TAHUAMPAL E.I.R.L."/>
    <x v="2"/>
    <s v="US$"/>
    <n v="0"/>
    <n v="2832"/>
    <x v="0"/>
    <x v="6"/>
  </r>
  <r>
    <d v="2022-02-28T00:00:00"/>
    <d v="2020-08-05T00:00:00"/>
    <n v="862"/>
    <s v="01-F001-00012422"/>
    <n v="20600888626"/>
    <s v="INVERSIONES AGROINDUSTRIALES EL TAHUAMPAL E.I.R.L."/>
    <x v="2"/>
    <s v="S/"/>
    <n v="1805.4"/>
    <n v="0"/>
    <x v="0"/>
    <x v="6"/>
  </r>
  <r>
    <d v="2022-02-28T00:00:00"/>
    <d v="2020-08-07T00:00:00"/>
    <n v="860"/>
    <s v="01-F001-00012486"/>
    <n v="20392847155"/>
    <s v="CORPORACION AGROINDUSTRIAL SAN BERNARDO S.A.C."/>
    <x v="1"/>
    <s v="US$"/>
    <n v="0"/>
    <n v="790.13"/>
    <x v="0"/>
    <x v="6"/>
  </r>
  <r>
    <d v="2022-02-28T00:00:00"/>
    <d v="2020-08-13T00:00:00"/>
    <n v="854"/>
    <s v="01-F001-00012535"/>
    <n v="20490494392"/>
    <s v="MULTIPECUARIA AVIPOR SOCIEDAD ANONIMA - MULTIAVIPOR S.A."/>
    <x v="3"/>
    <s v="S/"/>
    <n v="5664"/>
    <n v="0"/>
    <x v="0"/>
    <x v="6"/>
  </r>
  <r>
    <d v="2022-02-28T00:00:00"/>
    <d v="2020-08-16T00:00:00"/>
    <n v="851"/>
    <s v="01-F001-00012625"/>
    <n v="20392847155"/>
    <s v="CORPORACION AGROINDUSTRIAL SAN BERNARDO S.A.C."/>
    <x v="1"/>
    <s v="US$"/>
    <n v="0"/>
    <n v="227.76"/>
    <x v="0"/>
    <x v="6"/>
  </r>
  <r>
    <d v="2022-02-28T00:00:00"/>
    <d v="2020-08-16T00:00:00"/>
    <n v="851"/>
    <s v="01-F001-00012145"/>
    <n v="20392846850"/>
    <s v="GRANJA AVICOLA SEIKEN S.A.C."/>
    <x v="1"/>
    <s v="S/"/>
    <n v="10018.200000000001"/>
    <n v="0"/>
    <x v="0"/>
    <x v="6"/>
  </r>
  <r>
    <d v="2022-02-28T00:00:00"/>
    <d v="2020-08-17T00:00:00"/>
    <n v="850"/>
    <s v="01-F001-00012469"/>
    <n v="20392847155"/>
    <s v="CORPORACION AGROINDUSTRIAL SAN BERNARDO S.A.C."/>
    <x v="1"/>
    <s v="US$"/>
    <n v="0"/>
    <n v="462.56"/>
    <x v="0"/>
    <x v="6"/>
  </r>
  <r>
    <d v="2022-02-28T00:00:00"/>
    <d v="2020-08-29T00:00:00"/>
    <n v="838"/>
    <s v="01-F001-00012787"/>
    <n v="20490494392"/>
    <s v="MULTIPECUARIA AVIPOR SOCIEDAD ANONIMA - MULTIAVIPOR S.A."/>
    <x v="3"/>
    <s v="S/"/>
    <n v="2512.98"/>
    <n v="0"/>
    <x v="0"/>
    <x v="6"/>
  </r>
  <r>
    <d v="2022-02-28T00:00:00"/>
    <d v="2020-08-30T00:00:00"/>
    <n v="837"/>
    <s v="01-F001-00012348"/>
    <n v="20495190014"/>
    <s v="CORPORACION AGROPECUARIA YARELY &amp; C. VALENTIN S.A.C."/>
    <x v="0"/>
    <s v="US$"/>
    <n v="0"/>
    <n v="1849.06"/>
    <x v="0"/>
    <x v="6"/>
  </r>
  <r>
    <d v="2022-02-28T00:00:00"/>
    <d v="2020-08-31T00:00:00"/>
    <n v="836"/>
    <s v="01-F001-00012378"/>
    <n v="20495190014"/>
    <s v="CORPORACION AGROPECUARIA YARELY &amp; C. VALENTIN S.A.C."/>
    <x v="0"/>
    <s v="US$"/>
    <n v="0"/>
    <n v="126.85"/>
    <x v="0"/>
    <x v="6"/>
  </r>
  <r>
    <d v="2022-02-28T00:00:00"/>
    <d v="2020-09-03T00:00:00"/>
    <n v="833"/>
    <s v="01-F001-00012879"/>
    <n v="20600999312"/>
    <s v="GRANJA DON SEBAS S.A.C."/>
    <x v="5"/>
    <s v="S/"/>
    <n v="4027.28"/>
    <n v="0"/>
    <x v="0"/>
    <x v="7"/>
  </r>
  <r>
    <d v="2022-02-28T00:00:00"/>
    <d v="2020-09-06T00:00:00"/>
    <n v="830"/>
    <s v="01-F001-00012942"/>
    <n v="20392847155"/>
    <s v="CORPORACION AGROINDUSTRIAL SAN BERNARDO S.A.C."/>
    <x v="1"/>
    <s v="S/"/>
    <n v="90.5"/>
    <n v="0"/>
    <x v="0"/>
    <x v="7"/>
  </r>
  <r>
    <d v="2022-02-28T00:00:00"/>
    <d v="2020-09-11T00:00:00"/>
    <n v="825"/>
    <s v="01-F001-00013028"/>
    <n v="10424237448"/>
    <s v="TORREJON MORI ENRIQUE"/>
    <x v="2"/>
    <s v="US$"/>
    <n v="0"/>
    <n v="588.73"/>
    <x v="0"/>
    <x v="7"/>
  </r>
  <r>
    <d v="2022-02-28T00:00:00"/>
    <d v="2020-09-12T00:00:00"/>
    <n v="824"/>
    <s v="01-F001-00012786"/>
    <n v="20392847155"/>
    <s v="CORPORACION AGROINDUSTRIAL SAN BERNARDO S.A.C."/>
    <x v="1"/>
    <s v="US$"/>
    <n v="0"/>
    <n v="970.43"/>
    <x v="0"/>
    <x v="7"/>
  </r>
  <r>
    <d v="2022-02-28T00:00:00"/>
    <d v="2020-09-16T00:00:00"/>
    <n v="820"/>
    <s v="01-F001-00013113"/>
    <n v="20602691129"/>
    <s v="AGROSERVICIOS OLMOS E.I.R.L."/>
    <x v="0"/>
    <s v="S/"/>
    <n v="2478"/>
    <n v="0"/>
    <x v="0"/>
    <x v="7"/>
  </r>
  <r>
    <d v="2022-02-28T00:00:00"/>
    <d v="2020-09-16T00:00:00"/>
    <n v="820"/>
    <s v="01-F001-00013112"/>
    <n v="20602691129"/>
    <s v="AGROSERVICIOS OLMOS E.I.R.L."/>
    <x v="0"/>
    <s v="US$"/>
    <n v="0"/>
    <n v="129.80000000000001"/>
    <x v="0"/>
    <x v="7"/>
  </r>
  <r>
    <d v="2022-02-28T00:00:00"/>
    <d v="2020-09-19T00:00:00"/>
    <n v="817"/>
    <s v="01-F001-00012672"/>
    <n v="20495190014"/>
    <s v="CORPORACION AGROPECUARIA YARELY &amp; C. VALENTIN S.A.C."/>
    <x v="0"/>
    <s v="US$"/>
    <n v="0"/>
    <n v="637.20000000000005"/>
    <x v="0"/>
    <x v="7"/>
  </r>
  <r>
    <d v="2022-02-28T00:00:00"/>
    <d v="2020-09-23T00:00:00"/>
    <n v="813"/>
    <s v="01-F001-00013236"/>
    <n v="10424237448"/>
    <s v="TORREJON MORI ENRIQUE"/>
    <x v="2"/>
    <s v="US$"/>
    <n v="0"/>
    <n v="396.48"/>
    <x v="0"/>
    <x v="7"/>
  </r>
  <r>
    <d v="2022-02-28T00:00:00"/>
    <d v="2020-10-03T00:00:00"/>
    <n v="803"/>
    <s v="01-F001-00013416"/>
    <n v="20602691129"/>
    <s v="AGROSERVICIOS OLMOS E.I.R.L."/>
    <x v="0"/>
    <s v="US$"/>
    <n v="0"/>
    <n v="97.35"/>
    <x v="0"/>
    <x v="0"/>
  </r>
  <r>
    <d v="2022-02-28T00:00:00"/>
    <d v="2020-10-04T00:00:00"/>
    <n v="802"/>
    <s v="01-F001-00013436"/>
    <n v="20392847155"/>
    <s v="CORPORACION AGROINDUSTRIAL SAN BERNARDO S.A.C."/>
    <x v="1"/>
    <s v="US$"/>
    <n v="0"/>
    <n v="231.28"/>
    <x v="0"/>
    <x v="0"/>
  </r>
  <r>
    <d v="2022-02-28T00:00:00"/>
    <d v="2020-10-11T00:00:00"/>
    <n v="795"/>
    <s v="01-F001-00013542"/>
    <n v="20392847155"/>
    <s v="CORPORACION AGROINDUSTRIAL SAN BERNARDO S.A.C."/>
    <x v="1"/>
    <s v="US$"/>
    <n v="0"/>
    <n v="346.92"/>
    <x v="0"/>
    <x v="0"/>
  </r>
  <r>
    <d v="2022-02-28T00:00:00"/>
    <d v="2020-10-11T00:00:00"/>
    <n v="795"/>
    <s v="01-F001-00013032"/>
    <n v="20392847155"/>
    <s v="CORPORACION AGROINDUSTRIAL SAN BERNARDO S.A.C."/>
    <x v="1"/>
    <s v="US$"/>
    <n v="0"/>
    <n v="566.99"/>
    <x v="0"/>
    <x v="0"/>
  </r>
  <r>
    <d v="2022-02-28T00:00:00"/>
    <d v="2020-10-23T00:00:00"/>
    <n v="783"/>
    <s v="01-F001-00013726"/>
    <n v="20392847155"/>
    <s v="CORPORACION AGROINDUSTRIAL SAN BERNARDO S.A.C."/>
    <x v="1"/>
    <s v="US$"/>
    <n v="0"/>
    <n v="346.92"/>
    <x v="0"/>
    <x v="0"/>
  </r>
  <r>
    <d v="2022-02-28T00:00:00"/>
    <d v="2020-10-24T00:00:00"/>
    <n v="782"/>
    <s v="01-F001-00013502"/>
    <n v="20600888626"/>
    <s v="INVERSIONES AGROINDUSTRIALES EL TAHUAMPAL E.I.R.L."/>
    <x v="2"/>
    <s v="US$"/>
    <n v="0"/>
    <n v="2301"/>
    <x v="0"/>
    <x v="0"/>
  </r>
  <r>
    <d v="2022-02-28T00:00:00"/>
    <d v="2020-10-28T00:00:00"/>
    <n v="778"/>
    <s v="01-F001-00013808"/>
    <n v="10425517509"/>
    <s v="MOZO VALENTIN MANUEL GASPAR"/>
    <x v="5"/>
    <s v="S/"/>
    <n v="866.12"/>
    <n v="0"/>
    <x v="0"/>
    <x v="0"/>
  </r>
  <r>
    <d v="2022-02-28T00:00:00"/>
    <d v="2020-10-30T00:00:00"/>
    <n v="776"/>
    <s v="01-F001-00013848"/>
    <n v="20563755629"/>
    <s v="ADITIVOS ESENCIALES SOCIEDAD ANONIMA CERRADA"/>
    <x v="4"/>
    <s v="S/"/>
    <n v="141.6"/>
    <n v="0"/>
    <x v="0"/>
    <x v="0"/>
  </r>
  <r>
    <d v="2022-02-28T00:00:00"/>
    <d v="2020-10-30T00:00:00"/>
    <n v="776"/>
    <s v="01-F001-00013847"/>
    <n v="20563755629"/>
    <s v="ADITIVOS ESENCIALES SOCIEDAD ANONIMA CERRADA"/>
    <x v="4"/>
    <s v="S/"/>
    <n v="141.6"/>
    <n v="0"/>
    <x v="0"/>
    <x v="0"/>
  </r>
  <r>
    <d v="2022-02-28T00:00:00"/>
    <d v="2020-10-30T00:00:00"/>
    <n v="776"/>
    <s v="01-F001-00013846"/>
    <n v="20563755629"/>
    <s v="ADITIVOS ESENCIALES SOCIEDAD ANONIMA CERRADA"/>
    <x v="4"/>
    <s v="S/"/>
    <n v="141.6"/>
    <n v="0"/>
    <x v="0"/>
    <x v="0"/>
  </r>
  <r>
    <d v="2022-02-28T00:00:00"/>
    <d v="2020-10-30T00:00:00"/>
    <n v="776"/>
    <s v="01-F001-00014214"/>
    <n v="20600240502"/>
    <s v="AVICOLA AGROPECUARIA VALENTINA E.I.R.L"/>
    <x v="0"/>
    <s v="S/"/>
    <n v="280.3"/>
    <n v="0"/>
    <x v="0"/>
    <x v="0"/>
  </r>
  <r>
    <d v="2022-02-28T00:00:00"/>
    <d v="2020-10-30T00:00:00"/>
    <n v="776"/>
    <s v="08-FD01-00000123"/>
    <n v="20495190014"/>
    <s v="CORPORACION AGROPECUARIA YARELY &amp; C. VALENTIN S.A.C."/>
    <x v="0"/>
    <s v="US$"/>
    <n v="0"/>
    <n v="38.57"/>
    <x v="0"/>
    <x v="0"/>
  </r>
  <r>
    <d v="2022-02-28T00:00:00"/>
    <d v="2020-10-30T00:00:00"/>
    <n v="776"/>
    <s v="01-F001-00014213"/>
    <n v="20495009638"/>
    <s v="GRANJA DON AUGUSTO EMPRESA INDIVIDUAL DE RESPONSABILIDAD LIMITADA"/>
    <x v="0"/>
    <s v="S/"/>
    <n v="6258.72"/>
    <n v="0"/>
    <x v="0"/>
    <x v="0"/>
  </r>
  <r>
    <d v="2022-02-28T00:00:00"/>
    <d v="2020-11-04T00:00:00"/>
    <n v="771"/>
    <s v="01-F001-00013926"/>
    <n v="20392847155"/>
    <s v="CORPORACION AGROINDUSTRIAL SAN BERNARDO S.A.C."/>
    <x v="1"/>
    <s v="US$"/>
    <n v="0"/>
    <n v="346.92"/>
    <x v="0"/>
    <x v="11"/>
  </r>
  <r>
    <d v="2022-02-28T00:00:00"/>
    <d v="2020-11-10T00:00:00"/>
    <n v="765"/>
    <s v="08-FD01-00000119"/>
    <n v="20495190014"/>
    <s v="CORPORACION AGROPECUARIA YARELY &amp; C. VALENTIN S.A.C."/>
    <x v="0"/>
    <s v="US$"/>
    <n v="0"/>
    <n v="42.86"/>
    <x v="0"/>
    <x v="11"/>
  </r>
  <r>
    <d v="2022-02-28T00:00:00"/>
    <d v="2020-11-14T00:00:00"/>
    <n v="761"/>
    <s v="08-FD01-00000120"/>
    <n v="20495190014"/>
    <s v="CORPORACION AGROPECUARIA YARELY &amp; C. VALENTIN S.A.C."/>
    <x v="0"/>
    <s v="US$"/>
    <n v="0"/>
    <n v="38.14"/>
    <x v="0"/>
    <x v="11"/>
  </r>
  <r>
    <d v="2022-02-28T00:00:00"/>
    <d v="2020-11-14T00:00:00"/>
    <n v="761"/>
    <s v="08-FD01-00000121"/>
    <n v="20495190014"/>
    <s v="CORPORACION AGROPECUARIA YARELY &amp; C. VALENTIN S.A.C."/>
    <x v="0"/>
    <s v="US$"/>
    <n v="0"/>
    <n v="56.99"/>
    <x v="0"/>
    <x v="11"/>
  </r>
  <r>
    <d v="2022-02-28T00:00:00"/>
    <d v="2020-11-15T00:00:00"/>
    <n v="760"/>
    <s v="01-F001-00014093"/>
    <n v="20392847155"/>
    <s v="CORPORACION AGROINDUSTRIAL SAN BERNARDO S.A.C."/>
    <x v="1"/>
    <s v="US$"/>
    <n v="0"/>
    <n v="346.92"/>
    <x v="0"/>
    <x v="11"/>
  </r>
  <r>
    <d v="2022-02-28T00:00:00"/>
    <d v="2020-11-15T00:00:00"/>
    <n v="760"/>
    <s v="01-F001-00014074"/>
    <n v="10424237448"/>
    <s v="TORREJON MORI ENRIQUE"/>
    <x v="2"/>
    <s v="US$"/>
    <n v="0"/>
    <n v="348.1"/>
    <x v="0"/>
    <x v="11"/>
  </r>
  <r>
    <d v="2022-02-28T00:00:00"/>
    <d v="2020-11-15T00:00:00"/>
    <n v="760"/>
    <s v="01-F001-00014075"/>
    <n v="10424237448"/>
    <s v="TORREJON MORI ENRIQUE"/>
    <x v="2"/>
    <s v="S/"/>
    <n v="4773.79"/>
    <n v="0"/>
    <x v="0"/>
    <x v="11"/>
  </r>
  <r>
    <d v="2022-02-28T00:00:00"/>
    <d v="2020-11-15T00:00:00"/>
    <n v="760"/>
    <s v="01-F001-00014072"/>
    <n v="10424237448"/>
    <s v="TORREJON MORI ENRIQUE"/>
    <x v="2"/>
    <s v="US$"/>
    <n v="0"/>
    <n v="1612.18"/>
    <x v="0"/>
    <x v="11"/>
  </r>
  <r>
    <d v="2022-02-28T00:00:00"/>
    <d v="2020-11-18T00:00:00"/>
    <n v="757"/>
    <s v="01-F001-00014131"/>
    <n v="10424237448"/>
    <s v="TORREJON MORI ENRIQUE"/>
    <x v="2"/>
    <s v="US$"/>
    <n v="0"/>
    <n v="566.4"/>
    <x v="0"/>
    <x v="11"/>
  </r>
  <r>
    <d v="2022-02-28T00:00:00"/>
    <d v="2020-11-19T00:00:00"/>
    <n v="756"/>
    <s v="01-F001-00014139"/>
    <n v="10424237448"/>
    <s v="TORREJON MORI ENRIQUE"/>
    <x v="2"/>
    <s v="US$"/>
    <n v="0"/>
    <n v="590"/>
    <x v="0"/>
    <x v="11"/>
  </r>
  <r>
    <d v="2022-02-28T00:00:00"/>
    <d v="2020-11-20T00:00:00"/>
    <n v="755"/>
    <s v="01-F001-00014164"/>
    <n v="10424237448"/>
    <s v="TORREJON MORI ENRIQUE"/>
    <x v="2"/>
    <s v="S/"/>
    <n v="6437.1"/>
    <n v="0"/>
    <x v="0"/>
    <x v="11"/>
  </r>
  <r>
    <d v="2022-02-28T00:00:00"/>
    <d v="2020-11-27T00:00:00"/>
    <n v="748"/>
    <s v="01-F001-00014274"/>
    <n v="20392847155"/>
    <s v="CORPORACION AGROINDUSTRIAL SAN BERNARDO S.A.C."/>
    <x v="1"/>
    <s v="US$"/>
    <n v="0"/>
    <n v="346.92"/>
    <x v="0"/>
    <x v="11"/>
  </r>
  <r>
    <d v="2022-02-28T00:00:00"/>
    <d v="2020-11-29T00:00:00"/>
    <n v="746"/>
    <s v="01-F001-00014311"/>
    <n v="20600240502"/>
    <s v="AVICOLA AGROPECUARIA VALENTINA E.I.R.L"/>
    <x v="0"/>
    <s v="S/"/>
    <n v="1280.3"/>
    <n v="0"/>
    <x v="0"/>
    <x v="11"/>
  </r>
  <r>
    <d v="2022-02-28T00:00:00"/>
    <d v="2020-11-29T00:00:00"/>
    <n v="746"/>
    <s v="08-FD01-00000122"/>
    <n v="20495190014"/>
    <s v="CORPORACION AGROPECUARIA YARELY &amp; C. VALENTIN S.A.C."/>
    <x v="0"/>
    <s v="US$"/>
    <n v="0"/>
    <n v="38.14"/>
    <x v="0"/>
    <x v="11"/>
  </r>
  <r>
    <d v="2022-02-28T00:00:00"/>
    <d v="2020-11-30T00:00:00"/>
    <n v="745"/>
    <s v="01-F001-00014323"/>
    <n v="20563755629"/>
    <s v="ADITIVOS ESENCIALES SOCIEDAD ANONIMA CERRADA"/>
    <x v="4"/>
    <s v="S/"/>
    <n v="141.6"/>
    <n v="0"/>
    <x v="0"/>
    <x v="11"/>
  </r>
  <r>
    <d v="2022-02-28T00:00:00"/>
    <d v="2020-11-30T00:00:00"/>
    <n v="745"/>
    <s v="01-F001-00014324"/>
    <n v="20563755629"/>
    <s v="ADITIVOS ESENCIALES SOCIEDAD ANONIMA CERRADA"/>
    <x v="4"/>
    <s v="S/"/>
    <n v="236"/>
    <n v="0"/>
    <x v="0"/>
    <x v="11"/>
  </r>
  <r>
    <d v="2022-02-28T00:00:00"/>
    <d v="2020-11-30T00:00:00"/>
    <n v="745"/>
    <s v="01-F001-00014318"/>
    <n v="20563755629"/>
    <s v="ADITIVOS ESENCIALES SOCIEDAD ANONIMA CERRADA"/>
    <x v="4"/>
    <s v="S/"/>
    <n v="44.86"/>
    <n v="0"/>
    <x v="0"/>
    <x v="11"/>
  </r>
  <r>
    <d v="2022-02-28T00:00:00"/>
    <d v="2020-11-30T00:00:00"/>
    <n v="745"/>
    <s v="01-F001-00014322"/>
    <n v="20563755629"/>
    <s v="ADITIVOS ESENCIALES SOCIEDAD ANONIMA CERRADA"/>
    <x v="4"/>
    <s v="S/"/>
    <n v="141.6"/>
    <n v="0"/>
    <x v="0"/>
    <x v="11"/>
  </r>
  <r>
    <d v="2022-02-28T00:00:00"/>
    <d v="2020-11-30T00:00:00"/>
    <n v="745"/>
    <s v="01-F001-00014325"/>
    <n v="20563755629"/>
    <s v="ADITIVOS ESENCIALES SOCIEDAD ANONIMA CERRADA"/>
    <x v="4"/>
    <s v="S/"/>
    <n v="141.6"/>
    <n v="0"/>
    <x v="0"/>
    <x v="11"/>
  </r>
  <r>
    <d v="2022-02-28T00:00:00"/>
    <d v="2020-11-30T00:00:00"/>
    <n v="745"/>
    <s v="01-F001-00014321"/>
    <n v="20563755629"/>
    <s v="ADITIVOS ESENCIALES SOCIEDAD ANONIMA CERRADA"/>
    <x v="4"/>
    <s v="S/"/>
    <n v="236"/>
    <n v="0"/>
    <x v="0"/>
    <x v="11"/>
  </r>
  <r>
    <d v="2022-02-28T00:00:00"/>
    <d v="2020-12-06T00:00:00"/>
    <n v="739"/>
    <s v="01-F001-00014402"/>
    <n v="20392847155"/>
    <s v="CORPORACION AGROINDUSTRIAL SAN BERNARDO S.A.C."/>
    <x v="1"/>
    <s v="US$"/>
    <n v="0"/>
    <n v="1132.8"/>
    <x v="0"/>
    <x v="8"/>
  </r>
  <r>
    <d v="2022-02-28T00:00:00"/>
    <d v="2020-12-09T00:00:00"/>
    <n v="736"/>
    <s v="01-F001-00014446"/>
    <n v="20392847155"/>
    <s v="CORPORACION AGROINDUSTRIAL SAN BERNARDO S.A.C."/>
    <x v="1"/>
    <s v="US$"/>
    <n v="0"/>
    <n v="1132.8"/>
    <x v="0"/>
    <x v="8"/>
  </r>
  <r>
    <d v="2022-02-28T00:00:00"/>
    <d v="2020-12-13T00:00:00"/>
    <n v="732"/>
    <s v="01-F001-00014519"/>
    <n v="20600240502"/>
    <s v="AVICOLA AGROPECUARIA VALENTINA E.I.R.L"/>
    <x v="0"/>
    <s v="S/"/>
    <n v="1280.3"/>
    <n v="0"/>
    <x v="0"/>
    <x v="8"/>
  </r>
  <r>
    <d v="2022-02-28T00:00:00"/>
    <d v="2020-12-13T00:00:00"/>
    <n v="732"/>
    <s v="01-F001-00014503"/>
    <n v="20392847155"/>
    <s v="CORPORACION AGROINDUSTRIAL SAN BERNARDO S.A.C."/>
    <x v="1"/>
    <s v="US$"/>
    <n v="0"/>
    <n v="1132.8"/>
    <x v="0"/>
    <x v="8"/>
  </r>
  <r>
    <d v="2022-02-28T00:00:00"/>
    <d v="2020-12-14T00:00:00"/>
    <n v="731"/>
    <s v="01-F001-00014310"/>
    <n v="20495009638"/>
    <s v="GRANJA DON AUGUSTO EMPRESA INDIVIDUAL DE RESPONSABILIDAD LIMITADA"/>
    <x v="0"/>
    <s v="S/"/>
    <n v="6258.72"/>
    <n v="0"/>
    <x v="0"/>
    <x v="8"/>
  </r>
  <r>
    <d v="2022-02-28T00:00:00"/>
    <d v="2020-12-15T00:00:00"/>
    <n v="730"/>
    <s v="01-F001-00014073"/>
    <n v="10424237448"/>
    <s v="TORREJON MORI ENRIQUE"/>
    <x v="2"/>
    <s v="S/"/>
    <n v="3687.5"/>
    <n v="0"/>
    <x v="0"/>
    <x v="8"/>
  </r>
  <r>
    <d v="2022-02-28T00:00:00"/>
    <d v="2020-12-17T00:00:00"/>
    <n v="728"/>
    <s v="01-F001-00014550"/>
    <n v="10424237448"/>
    <s v="TORREJON MORI ENRIQUE"/>
    <x v="2"/>
    <s v="US$"/>
    <n v="0"/>
    <n v="219.48"/>
    <x v="0"/>
    <x v="8"/>
  </r>
  <r>
    <d v="2022-02-28T00:00:00"/>
    <d v="2020-12-17T00:00:00"/>
    <n v="728"/>
    <s v="01-F001-00014549"/>
    <n v="10424237448"/>
    <s v="TORREJON MORI ENRIQUE"/>
    <x v="2"/>
    <s v="S/"/>
    <n v="1713.09"/>
    <n v="0"/>
    <x v="0"/>
    <x v="8"/>
  </r>
  <r>
    <d v="2022-02-28T00:00:00"/>
    <d v="2020-12-20T00:00:00"/>
    <n v="725"/>
    <s v="01-F001-00014602"/>
    <n v="20600240502"/>
    <s v="AVICOLA AGROPECUARIA VALENTINA E.I.R.L"/>
    <x v="0"/>
    <s v="S/"/>
    <n v="1280.3"/>
    <n v="0"/>
    <x v="0"/>
    <x v="8"/>
  </r>
  <r>
    <d v="2022-02-28T00:00:00"/>
    <d v="2020-12-21T00:00:00"/>
    <n v="724"/>
    <s v="01-F001-00014408"/>
    <n v="20495009638"/>
    <s v="GRANJA DON AUGUSTO EMPRESA INDIVIDUAL DE RESPONSABILIDAD LIMITADA"/>
    <x v="0"/>
    <s v="S/"/>
    <n v="6258.72"/>
    <n v="0"/>
    <x v="0"/>
    <x v="8"/>
  </r>
  <r>
    <d v="2022-02-28T00:00:00"/>
    <d v="2020-12-24T00:00:00"/>
    <n v="721"/>
    <s v="01-F001-00014654"/>
    <n v="20528195475"/>
    <s v="AGROPECUARIA LA CHACRA S.R.L."/>
    <x v="2"/>
    <s v="US$"/>
    <n v="0"/>
    <n v="1649.64"/>
    <x v="0"/>
    <x v="8"/>
  </r>
  <r>
    <d v="2022-02-28T00:00:00"/>
    <d v="2020-12-25T00:00:00"/>
    <n v="720"/>
    <s v="01-F001-00014672"/>
    <n v="20392847155"/>
    <s v="CORPORACION AGROINDUSTRIAL SAN BERNARDO S.A.C."/>
    <x v="1"/>
    <s v="US$"/>
    <n v="0"/>
    <n v="1062"/>
    <x v="0"/>
    <x v="8"/>
  </r>
  <r>
    <d v="2022-02-28T00:00:00"/>
    <d v="2020-12-26T00:00:00"/>
    <n v="719"/>
    <s v="01-F001-00014258"/>
    <n v="20495190014"/>
    <s v="CORPORACION AGROPECUARIA YARELY &amp; C. VALENTIN S.A.C."/>
    <x v="0"/>
    <s v="S/"/>
    <n v="8719.7000000000007"/>
    <n v="0"/>
    <x v="0"/>
    <x v="8"/>
  </r>
  <r>
    <d v="2022-02-28T00:00:00"/>
    <d v="2020-12-28T00:00:00"/>
    <n v="717"/>
    <s v="01-F001-00014518"/>
    <n v="20495009638"/>
    <s v="GRANJA DON AUGUSTO EMPRESA INDIVIDUAL DE RESPONSABILIDAD LIMITADA"/>
    <x v="0"/>
    <s v="S/"/>
    <n v="6258.72"/>
    <n v="0"/>
    <x v="0"/>
    <x v="8"/>
  </r>
  <r>
    <d v="2022-02-28T00:00:00"/>
    <d v="2021-01-04T00:00:00"/>
    <n v="710"/>
    <s v="01-F001-00014395"/>
    <n v="20392847155"/>
    <s v="CORPORACION AGROINDUSTRIAL SAN BERNARDO S.A.C."/>
    <x v="1"/>
    <s v="US$"/>
    <n v="0"/>
    <n v="1132.8"/>
    <x v="0"/>
    <x v="9"/>
  </r>
  <r>
    <d v="2022-02-28T00:00:00"/>
    <d v="2021-01-05T00:00:00"/>
    <n v="709"/>
    <s v="01-F001-00015096"/>
    <n v="20563755629"/>
    <s v="ADITIVOS ESENCIALES SOCIEDAD ANONIMA CERRADA"/>
    <x v="4"/>
    <s v="S/"/>
    <n v="236"/>
    <n v="0"/>
    <x v="0"/>
    <x v="9"/>
  </r>
  <r>
    <d v="2022-02-28T00:00:00"/>
    <d v="2021-01-08T00:00:00"/>
    <n v="706"/>
    <s v="01-F001-00014841"/>
    <n v="20392847155"/>
    <s v="CORPORACION AGROINDUSTRIAL SAN BERNARDO S.A.C."/>
    <x v="1"/>
    <s v="US$"/>
    <n v="0"/>
    <n v="1062"/>
    <x v="0"/>
    <x v="9"/>
  </r>
  <r>
    <d v="2022-02-28T00:00:00"/>
    <d v="2021-01-08T00:00:00"/>
    <n v="706"/>
    <s v="01-F001-00014836"/>
    <n v="10424237448"/>
    <s v="TORREJON MORI ENRIQUE"/>
    <x v="2"/>
    <s v="US$"/>
    <n v="0"/>
    <n v="672.6"/>
    <x v="0"/>
    <x v="9"/>
  </r>
  <r>
    <d v="2022-02-28T00:00:00"/>
    <d v="2021-01-09T00:00:00"/>
    <n v="705"/>
    <s v="01-F001-00014863"/>
    <n v="20600999312"/>
    <s v="GRANJA DON SEBAS S.A.C."/>
    <x v="5"/>
    <s v="S/"/>
    <n v="803.01"/>
    <n v="0"/>
    <x v="0"/>
    <x v="9"/>
  </r>
  <r>
    <d v="2022-02-28T00:00:00"/>
    <d v="2021-01-10T00:00:00"/>
    <n v="704"/>
    <s v="01-F001-00014889"/>
    <n v="20392847155"/>
    <s v="CORPORACION AGROINDUSTRIAL SAN BERNARDO S.A.C."/>
    <x v="1"/>
    <s v="US$"/>
    <n v="0"/>
    <n v="1062"/>
    <x v="0"/>
    <x v="9"/>
  </r>
  <r>
    <d v="2022-02-28T00:00:00"/>
    <d v="2021-01-12T00:00:00"/>
    <n v="702"/>
    <s v="01-F001-00015077"/>
    <n v="20392847155"/>
    <s v="CORPORACION AGROINDUSTRIAL SAN BERNARDO S.A.C."/>
    <x v="1"/>
    <s v="US$"/>
    <n v="0"/>
    <n v="1699.2"/>
    <x v="0"/>
    <x v="9"/>
  </r>
  <r>
    <d v="2022-02-28T00:00:00"/>
    <d v="2021-01-13T00:00:00"/>
    <n v="701"/>
    <s v="01-F001-00014918"/>
    <n v="20392847155"/>
    <s v="CORPORACION AGROINDUSTRIAL SAN BERNARDO S.A.C."/>
    <x v="1"/>
    <s v="US$"/>
    <n v="0"/>
    <n v="1062"/>
    <x v="0"/>
    <x v="9"/>
  </r>
  <r>
    <d v="2022-02-28T00:00:00"/>
    <d v="2021-01-16T00:00:00"/>
    <n v="698"/>
    <s v="01-F001-00014975"/>
    <n v="20392847155"/>
    <s v="CORPORACION AGROINDUSTRIAL SAN BERNARDO S.A.C."/>
    <x v="1"/>
    <s v="US$"/>
    <n v="0"/>
    <n v="1062"/>
    <x v="0"/>
    <x v="9"/>
  </r>
  <r>
    <d v="2022-02-28T00:00:00"/>
    <d v="2021-01-22T00:00:00"/>
    <n v="692"/>
    <s v="01-F001-00015053"/>
    <n v="20392847155"/>
    <s v="CORPORACION AGROINDUSTRIAL SAN BERNARDO S.A.C."/>
    <x v="1"/>
    <s v="US$"/>
    <n v="0"/>
    <n v="2124"/>
    <x v="0"/>
    <x v="9"/>
  </r>
  <r>
    <d v="2022-02-28T00:00:00"/>
    <d v="2021-01-27T00:00:00"/>
    <n v="687"/>
    <s v="01-F001-00015078"/>
    <n v="20392847155"/>
    <s v="CORPORACION AGROINDUSTRIAL SAN BERNARDO S.A.C."/>
    <x v="1"/>
    <s v="US$"/>
    <n v="0"/>
    <n v="2124"/>
    <x v="0"/>
    <x v="9"/>
  </r>
  <r>
    <d v="2022-02-28T00:00:00"/>
    <d v="2021-01-29T00:00:00"/>
    <n v="685"/>
    <s v="01-F001-00015116"/>
    <n v="20563755629"/>
    <s v="ADITIVOS ESENCIALES SOCIEDAD ANONIMA CERRADA"/>
    <x v="4"/>
    <s v="S/"/>
    <n v="330.4"/>
    <n v="0"/>
    <x v="0"/>
    <x v="9"/>
  </r>
  <r>
    <d v="2022-02-28T00:00:00"/>
    <d v="2021-01-29T00:00:00"/>
    <n v="685"/>
    <s v="01-F001-00015117"/>
    <n v="20563755629"/>
    <s v="ADITIVOS ESENCIALES SOCIEDAD ANONIMA CERRADA"/>
    <x v="4"/>
    <s v="S/"/>
    <n v="236"/>
    <n v="0"/>
    <x v="0"/>
    <x v="9"/>
  </r>
  <r>
    <d v="2022-02-28T00:00:00"/>
    <d v="2021-01-29T00:00:00"/>
    <n v="685"/>
    <s v="01-F001-00015106"/>
    <n v="20563755629"/>
    <s v="ADITIVOS ESENCIALES SOCIEDAD ANONIMA CERRADA"/>
    <x v="4"/>
    <s v="S/"/>
    <n v="3365.42"/>
    <n v="0"/>
    <x v="0"/>
    <x v="9"/>
  </r>
  <r>
    <d v="2022-02-28T00:00:00"/>
    <d v="2021-01-29T00:00:00"/>
    <n v="685"/>
    <s v="01-F001-00015118"/>
    <n v="20563755629"/>
    <s v="ADITIVOS ESENCIALES SOCIEDAD ANONIMA CERRADA"/>
    <x v="4"/>
    <s v="S/"/>
    <n v="141.6"/>
    <n v="0"/>
    <x v="0"/>
    <x v="9"/>
  </r>
  <r>
    <d v="2022-02-28T00:00:00"/>
    <d v="2021-01-29T00:00:00"/>
    <n v="685"/>
    <s v="01-F001-00015115"/>
    <n v="20563755629"/>
    <s v="ADITIVOS ESENCIALES SOCIEDAD ANONIMA CERRADA"/>
    <x v="4"/>
    <s v="S/"/>
    <n v="141.6"/>
    <n v="0"/>
    <x v="0"/>
    <x v="9"/>
  </r>
  <r>
    <d v="2022-02-28T00:00:00"/>
    <d v="2021-01-29T00:00:00"/>
    <n v="685"/>
    <s v="01-F001-00015114"/>
    <n v="20563755629"/>
    <s v="ADITIVOS ESENCIALES SOCIEDAD ANONIMA CERRADA"/>
    <x v="4"/>
    <s v="S/"/>
    <n v="141.6"/>
    <n v="0"/>
    <x v="0"/>
    <x v="9"/>
  </r>
  <r>
    <d v="2022-02-28T00:00:00"/>
    <d v="2021-01-29T00:00:00"/>
    <n v="685"/>
    <s v="01-F001-00015113"/>
    <n v="20563755629"/>
    <s v="ADITIVOS ESENCIALES SOCIEDAD ANONIMA CERRADA"/>
    <x v="4"/>
    <s v="S/"/>
    <n v="141.6"/>
    <n v="0"/>
    <x v="0"/>
    <x v="9"/>
  </r>
  <r>
    <d v="2022-02-28T00:00:00"/>
    <d v="2021-01-29T00:00:00"/>
    <n v="685"/>
    <s v="01-F001-00015111"/>
    <n v="20563755629"/>
    <s v="ADITIVOS ESENCIALES SOCIEDAD ANONIMA CERRADA"/>
    <x v="4"/>
    <s v="S/"/>
    <n v="141.6"/>
    <n v="0"/>
    <x v="0"/>
    <x v="9"/>
  </r>
  <r>
    <d v="2022-02-28T00:00:00"/>
    <d v="2021-01-29T00:00:00"/>
    <n v="685"/>
    <s v="01-F001-00015112"/>
    <n v="20563755629"/>
    <s v="ADITIVOS ESENCIALES SOCIEDAD ANONIMA CERRADA"/>
    <x v="4"/>
    <s v="S/"/>
    <n v="141.6"/>
    <n v="0"/>
    <x v="0"/>
    <x v="9"/>
  </r>
  <r>
    <d v="2022-02-28T00:00:00"/>
    <d v="2021-02-05T00:00:00"/>
    <n v="678"/>
    <s v="01-F001-00015163"/>
    <n v="20547194340"/>
    <s v="AGROPECUARIA UPB WORD S.A.C."/>
    <x v="1"/>
    <s v="US$"/>
    <n v="0"/>
    <n v="693.84"/>
    <x v="0"/>
    <x v="1"/>
  </r>
  <r>
    <d v="2022-02-28T00:00:00"/>
    <d v="2021-02-11T00:00:00"/>
    <n v="672"/>
    <s v="01-F001-00015079"/>
    <n v="20392847155"/>
    <s v="CORPORACION AGROINDUSTRIAL SAN BERNARDO S.A.C."/>
    <x v="1"/>
    <s v="US$"/>
    <n v="0"/>
    <n v="2046.73"/>
    <x v="0"/>
    <x v="1"/>
  </r>
  <r>
    <d v="2022-02-28T00:00:00"/>
    <d v="2021-02-21T00:00:00"/>
    <n v="662"/>
    <s v="01-F001-00015348"/>
    <n v="20603890176"/>
    <s v="AVICOLA EL GAMONAL E.I.R.L."/>
    <x v="0"/>
    <s v="US$"/>
    <n v="0"/>
    <n v="3304"/>
    <x v="0"/>
    <x v="1"/>
  </r>
  <r>
    <d v="2022-02-28T00:00:00"/>
    <d v="2021-02-26T00:00:00"/>
    <n v="657"/>
    <s v="01-F001-00015400"/>
    <n v="20392847155"/>
    <s v="CORPORACION AGROINDUSTRIAL SAN BERNARDO S.A.C."/>
    <x v="1"/>
    <s v="US$"/>
    <n v="0"/>
    <n v="973.5"/>
    <x v="0"/>
    <x v="1"/>
  </r>
  <r>
    <d v="2022-02-28T00:00:00"/>
    <d v="2021-03-01T00:00:00"/>
    <n v="654"/>
    <s v="01-F001-00015487"/>
    <n v="20468261082"/>
    <s v="LOS SAUCES REPRESENTACIONES S.A.C."/>
    <x v="4"/>
    <s v="S/"/>
    <n v="230"/>
    <n v="0"/>
    <x v="0"/>
    <x v="2"/>
  </r>
  <r>
    <d v="2022-02-28T00:00:00"/>
    <d v="2021-03-01T00:00:00"/>
    <n v="654"/>
    <s v="01-F001-00015485"/>
    <n v="20468261082"/>
    <s v="LOS SAUCES REPRESENTACIONES S.A.C."/>
    <x v="4"/>
    <s v="S/"/>
    <n v="330.4"/>
    <n v="0"/>
    <x v="0"/>
    <x v="2"/>
  </r>
  <r>
    <d v="2022-02-28T00:00:00"/>
    <d v="2021-03-14T00:00:00"/>
    <n v="641"/>
    <s v="01-F001-00015639"/>
    <n v="20392847155"/>
    <s v="CORPORACION AGROINDUSTRIAL SAN BERNARDO S.A.C."/>
    <x v="1"/>
    <s v="US$"/>
    <n v="0"/>
    <n v="973.5"/>
    <x v="0"/>
    <x v="2"/>
  </r>
  <r>
    <d v="2022-02-28T00:00:00"/>
    <d v="2021-03-24T00:00:00"/>
    <n v="631"/>
    <s v="01-F001-00015192"/>
    <n v="20528195475"/>
    <s v="AGROPECUARIA LA CHACRA S.R.L."/>
    <x v="2"/>
    <s v="US$"/>
    <n v="0"/>
    <n v="2832"/>
    <x v="0"/>
    <x v="2"/>
  </r>
  <r>
    <d v="2022-02-28T00:00:00"/>
    <d v="2021-04-03T00:00:00"/>
    <n v="621"/>
    <s v="01-F001-00015513"/>
    <n v="20495190014"/>
    <s v="CORPORACION AGROPECUARIA YARELY &amp; C. VALENTIN S.A.C."/>
    <x v="0"/>
    <s v="S/"/>
    <n v="2271.5"/>
    <n v="0"/>
    <x v="0"/>
    <x v="3"/>
  </r>
  <r>
    <d v="2022-02-28T00:00:00"/>
    <d v="2021-04-03T00:00:00"/>
    <n v="621"/>
    <s v="01-F001-00015500"/>
    <n v="20495190014"/>
    <s v="CORPORACION AGROPECUARIA YARELY &amp; C. VALENTIN S.A.C."/>
    <x v="0"/>
    <s v="US$"/>
    <n v="0"/>
    <n v="283.2"/>
    <x v="0"/>
    <x v="3"/>
  </r>
  <r>
    <d v="2022-02-28T00:00:00"/>
    <d v="2021-04-14T00:00:00"/>
    <n v="610"/>
    <s v="01-F001-00016008"/>
    <n v="20487627519"/>
    <s v="RICO CERDO F &amp; G S.A.C"/>
    <x v="5"/>
    <s v="US$"/>
    <n v="0"/>
    <n v="673.77"/>
    <x v="0"/>
    <x v="3"/>
  </r>
  <r>
    <d v="2022-02-28T00:00:00"/>
    <d v="2021-05-05T00:00:00"/>
    <n v="589"/>
    <s v="01-F001-00015728"/>
    <n v="20528195475"/>
    <s v="AGROPECUARIA LA CHACRA S.R.L."/>
    <x v="2"/>
    <s v="US$"/>
    <n v="0"/>
    <n v="3568.32"/>
    <x v="0"/>
    <x v="4"/>
  </r>
  <r>
    <d v="2022-02-28T00:00:00"/>
    <d v="2021-05-08T00:00:00"/>
    <n v="586"/>
    <s v="01-F001-00016342"/>
    <n v="20468261082"/>
    <s v="LOS SAUCES REPRESENTACIONES S.A.C."/>
    <x v="4"/>
    <s v="S/"/>
    <n v="5515.1"/>
    <n v="0"/>
    <x v="0"/>
    <x v="4"/>
  </r>
  <r>
    <d v="2022-02-28T00:00:00"/>
    <d v="2021-05-13T00:00:00"/>
    <n v="581"/>
    <s v="01-F001-00016410"/>
    <n v="10422370124"/>
    <s v="CARRASCO ALEJOS KENNY JHOEL."/>
    <x v="3"/>
    <s v="US$"/>
    <n v="0"/>
    <n v="52.3"/>
    <x v="0"/>
    <x v="4"/>
  </r>
  <r>
    <d v="2022-02-28T00:00:00"/>
    <d v="2021-05-14T00:00:00"/>
    <n v="580"/>
    <s v="01-F001-00016015"/>
    <n v="20606113758"/>
    <s v="INVERSIONES PAMPA REAL S.A.C."/>
    <x v="0"/>
    <s v="S/"/>
    <n v="3020.8"/>
    <n v="0"/>
    <x v="0"/>
    <x v="4"/>
  </r>
  <r>
    <d v="2022-02-28T00:00:00"/>
    <d v="2021-05-19T00:00:00"/>
    <n v="575"/>
    <s v="01-F001-00016466"/>
    <n v="10422370124"/>
    <s v="CARRASCO ALEJOS KENNY JHOEL."/>
    <x v="3"/>
    <s v="US$"/>
    <n v="0"/>
    <n v="307.98"/>
    <x v="0"/>
    <x v="4"/>
  </r>
  <r>
    <d v="2022-02-28T00:00:00"/>
    <d v="2021-06-05T00:00:00"/>
    <n v="558"/>
    <s v="01-F001-00016728"/>
    <n v="20468261082"/>
    <s v="LOS SAUCES REPRESENTACIONES S.A.C."/>
    <x v="4"/>
    <s v="S/"/>
    <n v="521.02"/>
    <n v="0"/>
    <x v="0"/>
    <x v="5"/>
  </r>
  <r>
    <d v="2022-02-28T00:00:00"/>
    <d v="2021-06-12T00:00:00"/>
    <n v="551"/>
    <s v="01-F001-00016812"/>
    <n v="20606449811"/>
    <s v="SANIDAD AGROPECUARIA &amp; ASOCIADOS S.A.C."/>
    <x v="5"/>
    <s v="S/"/>
    <n v="5448.8"/>
    <n v="0"/>
    <x v="0"/>
    <x v="5"/>
  </r>
  <r>
    <d v="2022-02-28T00:00:00"/>
    <d v="2021-07-07T00:00:00"/>
    <n v="526"/>
    <s v="01-F001-00017460"/>
    <n v="20603890176"/>
    <s v="AVICOLA EL GAMONAL E.I.R.L."/>
    <x v="0"/>
    <s v="US$"/>
    <n v="0"/>
    <n v="3776"/>
    <x v="0"/>
    <x v="10"/>
  </r>
  <r>
    <d v="2022-02-28T00:00:00"/>
    <d v="2021-07-08T00:00:00"/>
    <n v="525"/>
    <s v="01-F001-00017166"/>
    <n v="20487438031"/>
    <s v="AGROPECUARIA SAGASA E.I.R.L."/>
    <x v="5"/>
    <s v="S/"/>
    <n v="8212.7999999999993"/>
    <n v="0"/>
    <x v="0"/>
    <x v="10"/>
  </r>
  <r>
    <d v="2022-02-28T00:00:00"/>
    <d v="2021-07-16T00:00:00"/>
    <n v="517"/>
    <s v="01-F001-00017600"/>
    <n v="20603890176"/>
    <s v="AVICOLA EL GAMONAL E.I.R.L."/>
    <x v="0"/>
    <s v="S/"/>
    <n v="17680.34"/>
    <n v="0"/>
    <x v="0"/>
    <x v="10"/>
  </r>
  <r>
    <d v="2022-02-28T00:00:00"/>
    <d v="2021-07-17T00:00:00"/>
    <n v="516"/>
    <s v="01-F001-00017298"/>
    <n v="10422370124"/>
    <s v="CARRASCO ALEJOS KENNY JHOEL."/>
    <x v="3"/>
    <s v="US$"/>
    <n v="0"/>
    <n v="307.98"/>
    <x v="0"/>
    <x v="10"/>
  </r>
  <r>
    <d v="2022-02-28T00:00:00"/>
    <d v="2021-07-30T00:00:00"/>
    <n v="503"/>
    <s v="01-F001-00017459"/>
    <n v="20603890176"/>
    <s v="AVICOLA EL GAMONAL E.I.R.L."/>
    <x v="0"/>
    <s v="S/"/>
    <n v="6702.1"/>
    <n v="0"/>
    <x v="0"/>
    <x v="10"/>
  </r>
  <r>
    <d v="2022-02-28T00:00:00"/>
    <d v="2021-07-31T00:00:00"/>
    <n v="502"/>
    <s v="01-F001-00017503"/>
    <n v="20603890176"/>
    <s v="AVICOLA EL GAMONAL E.I.R.L."/>
    <x v="0"/>
    <s v="S/"/>
    <n v="11044.8"/>
    <n v="0"/>
    <x v="0"/>
    <x v="10"/>
  </r>
  <r>
    <d v="2022-02-28T00:00:00"/>
    <d v="2021-08-13T00:00:00"/>
    <n v="489"/>
    <s v="01-F001-00017639"/>
    <n v="20603890176"/>
    <s v="AVICOLA EL GAMONAL E.I.R.L."/>
    <x v="0"/>
    <s v="S/"/>
    <n v="795.04"/>
    <n v="0"/>
    <x v="0"/>
    <x v="6"/>
  </r>
  <r>
    <d v="2022-02-28T00:00:00"/>
    <d v="2021-08-14T00:00:00"/>
    <n v="488"/>
    <s v="01-F001-00017675"/>
    <n v="20603890176"/>
    <s v="AVICOLA EL GAMONAL E.I.R.L."/>
    <x v="0"/>
    <s v="S/"/>
    <n v="12149.28"/>
    <n v="0"/>
    <x v="0"/>
    <x v="6"/>
  </r>
  <r>
    <d v="2022-02-28T00:00:00"/>
    <d v="2021-08-20T00:00:00"/>
    <n v="482"/>
    <s v="01-F001-00017729"/>
    <n v="20535118303"/>
    <s v="NEGOCIACION AGROPECUARIA ACACIAS E.I.R.L."/>
    <x v="0"/>
    <s v="S/"/>
    <n v="227.88"/>
    <n v="0"/>
    <x v="0"/>
    <x v="6"/>
  </r>
  <r>
    <d v="2022-02-28T00:00:00"/>
    <d v="2021-08-21T00:00:00"/>
    <n v="481"/>
    <s v="01-F001-00017761"/>
    <n v="20603890176"/>
    <s v="AVICOLA EL GAMONAL E.I.R.L."/>
    <x v="0"/>
    <s v="S/"/>
    <n v="11044.8"/>
    <n v="0"/>
    <x v="0"/>
    <x v="6"/>
  </r>
  <r>
    <d v="2022-02-28T00:00:00"/>
    <d v="2021-08-24T00:00:00"/>
    <n v="478"/>
    <s v="01-F001-00017210"/>
    <n v="20528195475"/>
    <s v="AGROPECUARIA LA CHACRA S.R.L."/>
    <x v="2"/>
    <s v="S/"/>
    <n v="1124.73"/>
    <n v="0"/>
    <x v="0"/>
    <x v="6"/>
  </r>
  <r>
    <d v="2022-02-28T00:00:00"/>
    <d v="2021-08-26T00:00:00"/>
    <n v="476"/>
    <s v="01-F001-00017805"/>
    <n v="20603890176"/>
    <s v="AVICOLA EL GAMONAL E.I.R.L."/>
    <x v="0"/>
    <s v="US$"/>
    <n v="0"/>
    <n v="3776"/>
    <x v="0"/>
    <x v="6"/>
  </r>
  <r>
    <d v="2022-02-28T00:00:00"/>
    <d v="2021-08-26T00:00:00"/>
    <n v="476"/>
    <s v="01-F001-00017807"/>
    <n v="20535118303"/>
    <s v="NEGOCIACION AGROPECUARIA ACACIAS E.I.R.L."/>
    <x v="0"/>
    <s v="S/"/>
    <n v="1888"/>
    <n v="0"/>
    <x v="0"/>
    <x v="6"/>
  </r>
  <r>
    <d v="2022-02-28T00:00:00"/>
    <d v="2021-09-03T00:00:00"/>
    <n v="468"/>
    <s v="01-F001-00018315"/>
    <n v="20528195475"/>
    <s v="AGROPECUARIA LA CHACRA S.R.L."/>
    <x v="2"/>
    <s v="S/"/>
    <n v="1014.21"/>
    <n v="0"/>
    <x v="0"/>
    <x v="7"/>
  </r>
  <r>
    <d v="2022-02-28T00:00:00"/>
    <d v="2021-09-06T00:00:00"/>
    <n v="465"/>
    <s v="01-F001-00018323"/>
    <n v="20557340034"/>
    <s v="JMA AGRONEGOCIOS S.A.C."/>
    <x v="0"/>
    <s v="S/"/>
    <n v="9912"/>
    <n v="0"/>
    <x v="0"/>
    <x v="7"/>
  </r>
  <r>
    <d v="2022-02-28T00:00:00"/>
    <d v="2021-09-10T00:00:00"/>
    <n v="461"/>
    <s v="01-F001-00017996"/>
    <n v="20603890176"/>
    <s v="AVICOLA EL GAMONAL E.I.R.L."/>
    <x v="0"/>
    <s v="US$"/>
    <n v="0"/>
    <n v="182.31"/>
    <x v="0"/>
    <x v="7"/>
  </r>
  <r>
    <d v="2022-02-28T00:00:00"/>
    <d v="2021-09-10T00:00:00"/>
    <n v="461"/>
    <s v="01-F001-00017813"/>
    <n v="20514793353"/>
    <s v="AVICOLA GLORIA S.A.C."/>
    <x v="2"/>
    <s v="S/"/>
    <n v="615.54"/>
    <n v="0"/>
    <x v="0"/>
    <x v="7"/>
  </r>
  <r>
    <d v="2022-02-28T00:00:00"/>
    <d v="2021-09-24T00:00:00"/>
    <n v="447"/>
    <s v="01-F001-00017987"/>
    <n v="20514793353"/>
    <s v="AVICOLA GLORIA S.A.C."/>
    <x v="2"/>
    <s v="S/"/>
    <n v="1017.75"/>
    <n v="0"/>
    <x v="0"/>
    <x v="7"/>
  </r>
  <r>
    <d v="2022-02-28T00:00:00"/>
    <d v="2021-10-01T00:00:00"/>
    <n v="440"/>
    <s v="01-F001-00018058"/>
    <n v="20514793353"/>
    <s v="AVICOLA GLORIA S.A.C."/>
    <x v="2"/>
    <s v="S/"/>
    <n v="1017.75"/>
    <n v="0"/>
    <x v="0"/>
    <x v="0"/>
  </r>
  <r>
    <d v="2022-02-28T00:00:00"/>
    <d v="2021-10-03T00:00:00"/>
    <n v="438"/>
    <s v="01-F001-00018278"/>
    <n v="20557340034"/>
    <s v="JMA AGRONEGOCIOS S.A.C."/>
    <x v="0"/>
    <s v="US$"/>
    <n v="0"/>
    <n v="329.22"/>
    <x v="0"/>
    <x v="0"/>
  </r>
  <r>
    <d v="2022-02-28T00:00:00"/>
    <d v="2021-10-08T00:00:00"/>
    <n v="433"/>
    <s v="01-F001-00018162"/>
    <n v="20514793353"/>
    <s v="AVICOLA GLORIA S.A.C."/>
    <x v="2"/>
    <s v="S/"/>
    <n v="1017.75"/>
    <n v="0"/>
    <x v="0"/>
    <x v="0"/>
  </r>
  <r>
    <d v="2022-02-28T00:00:00"/>
    <d v="2021-10-24T00:00:00"/>
    <n v="417"/>
    <s v="01-F001-00018380"/>
    <n v="20514793353"/>
    <s v="AVICOLA GLORIA S.A.C."/>
    <x v="2"/>
    <s v="S/"/>
    <n v="11748.58"/>
    <n v="0"/>
    <x v="0"/>
    <x v="0"/>
  </r>
  <r>
    <d v="2022-02-28T00:00:00"/>
    <d v="2021-10-24T00:00:00"/>
    <n v="417"/>
    <s v="01-F001-00018581"/>
    <n v="20557340034"/>
    <s v="JMA AGRONEGOCIOS S.A.C."/>
    <x v="0"/>
    <s v="US$"/>
    <n v="0"/>
    <n v="329.22"/>
    <x v="0"/>
    <x v="0"/>
  </r>
  <r>
    <d v="2022-02-28T00:00:00"/>
    <d v="2021-10-29T00:00:00"/>
    <n v="412"/>
    <s v="01-F001-00018638"/>
    <n v="20468261082"/>
    <s v="LOS SAUCES REPRESENTACIONES S.A.C."/>
    <x v="4"/>
    <s v="US$"/>
    <n v="0"/>
    <n v="29.5"/>
    <x v="0"/>
    <x v="0"/>
  </r>
  <r>
    <d v="2022-02-28T00:00:00"/>
    <d v="2021-10-30T00:00:00"/>
    <n v="411"/>
    <s v="01-F001-00018666"/>
    <n v="20468261082"/>
    <s v="LOS SAUCES REPRESENTACIONES S.A.C."/>
    <x v="4"/>
    <s v="S/"/>
    <n v="188.8"/>
    <n v="0"/>
    <x v="0"/>
    <x v="0"/>
  </r>
  <r>
    <d v="2022-02-28T00:00:00"/>
    <d v="2021-10-30T00:00:00"/>
    <n v="411"/>
    <s v="01-F001-00018667"/>
    <n v="20468261082"/>
    <s v="LOS SAUCES REPRESENTACIONES S.A.C."/>
    <x v="4"/>
    <s v="S/"/>
    <n v="188.8"/>
    <n v="0"/>
    <x v="0"/>
    <x v="0"/>
  </r>
  <r>
    <d v="2022-02-28T00:00:00"/>
    <d v="2021-10-30T00:00:00"/>
    <n v="411"/>
    <s v="01-F001-00018668"/>
    <n v="20468261082"/>
    <s v="LOS SAUCES REPRESENTACIONES S.A.C."/>
    <x v="4"/>
    <s v="S/"/>
    <n v="188.8"/>
    <n v="0"/>
    <x v="0"/>
    <x v="0"/>
  </r>
  <r>
    <d v="2022-02-28T00:00:00"/>
    <d v="2021-10-30T00:00:00"/>
    <n v="411"/>
    <s v="01-F001-00018656"/>
    <n v="20468261082"/>
    <s v="LOS SAUCES REPRESENTACIONES S.A.C."/>
    <x v="4"/>
    <s v="S/"/>
    <n v="330.4"/>
    <n v="0"/>
    <x v="0"/>
    <x v="0"/>
  </r>
  <r>
    <d v="2022-02-28T00:00:00"/>
    <d v="2021-10-30T00:00:00"/>
    <n v="411"/>
    <s v="01-F001-00018662"/>
    <n v="20468261082"/>
    <s v="LOS SAUCES REPRESENTACIONES S.A.C."/>
    <x v="4"/>
    <s v="S/"/>
    <n v="214.76"/>
    <n v="0"/>
    <x v="0"/>
    <x v="0"/>
  </r>
  <r>
    <d v="2022-02-28T00:00:00"/>
    <d v="2021-10-30T00:00:00"/>
    <n v="411"/>
    <s v="08-FD01-00000132"/>
    <n v="20521036061"/>
    <s v="PANCARA S.A.C."/>
    <x v="0"/>
    <s v="US$"/>
    <n v="0"/>
    <n v="42.86"/>
    <x v="0"/>
    <x v="0"/>
  </r>
  <r>
    <d v="2022-02-28T00:00:00"/>
    <d v="2021-11-05T00:00:00"/>
    <n v="405"/>
    <s v="01-F001-00018742"/>
    <n v="20603582935"/>
    <s v="GRANJA AVICOLA SAN BENJAMIN E.I R.L."/>
    <x v="0"/>
    <s v="S/"/>
    <n v="2472.4299999999998"/>
    <n v="0"/>
    <x v="0"/>
    <x v="11"/>
  </r>
  <r>
    <d v="2022-02-28T00:00:00"/>
    <d v="2021-11-14T00:00:00"/>
    <n v="396"/>
    <s v="08-FD01-00000133"/>
    <n v="20521036061"/>
    <s v="PANCARA S.A.C."/>
    <x v="0"/>
    <s v="US$"/>
    <n v="0"/>
    <n v="42.86"/>
    <x v="0"/>
    <x v="11"/>
  </r>
  <r>
    <d v="2022-02-28T00:00:00"/>
    <d v="2021-11-14T00:00:00"/>
    <n v="396"/>
    <s v="08-FD01-00000134"/>
    <n v="20521036061"/>
    <s v="PANCARA S.A.C."/>
    <x v="0"/>
    <s v="US$"/>
    <n v="0"/>
    <n v="42.86"/>
    <x v="0"/>
    <x v="11"/>
  </r>
  <r>
    <d v="2022-02-28T00:00:00"/>
    <d v="2021-11-17T00:00:00"/>
    <n v="393"/>
    <s v="01-F001-00018870"/>
    <n v="20468261082"/>
    <s v="LOS SAUCES REPRESENTACIONES S.A.C."/>
    <x v="4"/>
    <s v="S/"/>
    <n v="1565.15"/>
    <n v="0"/>
    <x v="0"/>
    <x v="11"/>
  </r>
  <r>
    <d v="2022-02-28T00:00:00"/>
    <d v="2021-11-17T00:00:00"/>
    <n v="393"/>
    <s v="01-F001-00018115"/>
    <n v="20468261082"/>
    <s v="LOS SAUCES REPRESENTACIONES S.A.C."/>
    <x v="4"/>
    <s v="S/"/>
    <n v="864.65"/>
    <n v="0"/>
    <x v="0"/>
    <x v="11"/>
  </r>
  <r>
    <d v="2022-02-28T00:00:00"/>
    <d v="2021-11-24T00:00:00"/>
    <n v="386"/>
    <s v="01-F001-00018949"/>
    <n v="20557340034"/>
    <s v="JMA AGRONEGOCIOS S.A.C."/>
    <x v="0"/>
    <s v="US$"/>
    <n v="0"/>
    <n v="329.22"/>
    <x v="0"/>
    <x v="11"/>
  </r>
  <r>
    <d v="2022-02-28T00:00:00"/>
    <d v="2021-11-25T00:00:00"/>
    <n v="385"/>
    <s v="01-F001-00018768"/>
    <n v="20514793353"/>
    <s v="AVICOLA GLORIA S.A.C."/>
    <x v="2"/>
    <s v="S/"/>
    <n v="3957.15"/>
    <n v="0"/>
    <x v="0"/>
    <x v="11"/>
  </r>
  <r>
    <d v="2022-02-28T00:00:00"/>
    <d v="2021-11-29T00:00:00"/>
    <n v="381"/>
    <s v="01-F001-00018848"/>
    <n v="20519902428"/>
    <s v="AGROPECUARIA CARIOCA S.A.C."/>
    <x v="3"/>
    <s v="US$"/>
    <n v="0"/>
    <n v="2723.44"/>
    <x v="0"/>
    <x v="11"/>
  </r>
  <r>
    <d v="2022-02-28T00:00:00"/>
    <d v="2021-12-04T00:00:00"/>
    <n v="376"/>
    <s v="01-F001-00018915"/>
    <n v="20601317266"/>
    <s v="AGROINDUSTRIAS MOLINOS DEL SUR E.I.R.L."/>
    <x v="3"/>
    <s v="US$"/>
    <n v="0"/>
    <n v="4064.37"/>
    <x v="0"/>
    <x v="8"/>
  </r>
  <r>
    <d v="2022-02-28T00:00:00"/>
    <d v="2021-12-06T00:00:00"/>
    <n v="374"/>
    <s v="01-F001-00019535"/>
    <n v="20603890176"/>
    <s v="AVICOLA EL GAMONAL E.I.R.L."/>
    <x v="0"/>
    <s v="US$"/>
    <n v="0"/>
    <n v="11.67"/>
    <x v="0"/>
    <x v="8"/>
  </r>
  <r>
    <d v="2022-02-28T00:00:00"/>
    <d v="2021-12-07T00:00:00"/>
    <n v="373"/>
    <s v="01-F001-00019525"/>
    <n v="20474584985"/>
    <s v="AGROPECUARIA HUERTOS DEL SUR E.I.R.L."/>
    <x v="0"/>
    <s v="S/"/>
    <n v="1719.85"/>
    <n v="0"/>
    <x v="0"/>
    <x v="8"/>
  </r>
  <r>
    <d v="2022-02-28T00:00:00"/>
    <d v="2021-12-09T00:00:00"/>
    <n v="371"/>
    <s v="01-F001-00019592"/>
    <n v="20603890176"/>
    <s v="AVICOLA EL GAMONAL E.I.R.L."/>
    <x v="0"/>
    <s v="US$"/>
    <n v="0"/>
    <n v="35.72"/>
    <x v="0"/>
    <x v="8"/>
  </r>
  <r>
    <d v="2022-02-28T00:00:00"/>
    <d v="2021-12-15T00:00:00"/>
    <n v="365"/>
    <s v="01-F001-00019230"/>
    <n v="20557340034"/>
    <s v="JMA AGRONEGOCIOS S.A.C."/>
    <x v="0"/>
    <s v="US$"/>
    <n v="0"/>
    <n v="329.22"/>
    <x v="0"/>
    <x v="8"/>
  </r>
  <r>
    <d v="2022-02-28T00:00:00"/>
    <d v="2021-12-23T00:00:00"/>
    <n v="357"/>
    <s v="01-F001-00019154"/>
    <n v="20519902428"/>
    <s v="AGROPECUARIA CARIOCA S.A.C."/>
    <x v="3"/>
    <s v="US$"/>
    <n v="0"/>
    <n v="3269.19"/>
    <x v="0"/>
    <x v="8"/>
  </r>
  <r>
    <d v="2022-02-28T00:00:00"/>
    <d v="2021-12-25T00:00:00"/>
    <n v="355"/>
    <s v="01-F001-00019193"/>
    <n v="20605079866"/>
    <s v="NEGOCIACIONES PECUARIAS ALE E.I.R.L."/>
    <x v="0"/>
    <s v="US$"/>
    <n v="0"/>
    <n v="230.12"/>
    <x v="0"/>
    <x v="8"/>
  </r>
  <r>
    <d v="2022-02-28T00:00:00"/>
    <d v="2022-01-11T00:00:00"/>
    <n v="338"/>
    <s v="01-F001-00019403"/>
    <n v="20519902428"/>
    <s v="AGROPECUARIA CARIOCA S.A.C."/>
    <x v="3"/>
    <s v="US$"/>
    <n v="0"/>
    <n v="2679.19"/>
    <x v="0"/>
    <x v="9"/>
  </r>
  <r>
    <d v="2022-02-28T00:00:00"/>
    <d v="2022-01-17T00:00:00"/>
    <n v="332"/>
    <s v="01-F001-00019904"/>
    <n v="10181238025"/>
    <s v="CHAVEZ RAMIREZ JORGE ENRIQUE"/>
    <x v="5"/>
    <s v="S/"/>
    <n v="616.28"/>
    <n v="0"/>
    <x v="0"/>
    <x v="9"/>
  </r>
  <r>
    <d v="2022-02-28T00:00:00"/>
    <d v="2022-01-17T00:00:00"/>
    <n v="332"/>
    <s v="01-F001-00019507"/>
    <n v="20600728688"/>
    <s v="PECUARIA SAN FRANCISCO S.A.C."/>
    <x v="0"/>
    <s v="S/"/>
    <n v="4158.4399999999996"/>
    <n v="0"/>
    <x v="0"/>
    <x v="9"/>
  </r>
  <r>
    <d v="2022-02-28T00:00:00"/>
    <d v="2022-01-27T00:00:00"/>
    <n v="322"/>
    <s v="01-F001-00019638"/>
    <n v="20519902428"/>
    <s v="AGROPECUARIA CARIOCA S.A.C."/>
    <x v="3"/>
    <s v="US$"/>
    <n v="0"/>
    <n v="3191.31"/>
    <x v="0"/>
    <x v="9"/>
  </r>
  <r>
    <d v="2022-02-28T00:00:00"/>
    <d v="2022-01-28T00:00:00"/>
    <n v="321"/>
    <s v="01-F001-00019839"/>
    <n v="20479436470"/>
    <s v="GANADERA EL MILAGRO S.A.C."/>
    <x v="5"/>
    <s v="S/"/>
    <n v="2037.44"/>
    <n v="0"/>
    <x v="0"/>
    <x v="9"/>
  </r>
  <r>
    <d v="2022-02-28T00:00:00"/>
    <d v="2022-01-31T00:00:00"/>
    <n v="318"/>
    <s v="01-F001-00020212"/>
    <n v="20603174934"/>
    <s v="AVICOLA MIRAMAR EL PEDREGAL S.A.C."/>
    <x v="3"/>
    <s v="US$"/>
    <n v="0"/>
    <n v="465.14"/>
    <x v="0"/>
    <x v="9"/>
  </r>
  <r>
    <d v="2022-02-28T00:00:00"/>
    <d v="2022-01-31T00:00:00"/>
    <n v="318"/>
    <s v="01-F001-00019246"/>
    <n v="20606970600"/>
    <s v="DONAVE S.A.C."/>
    <x v="0"/>
    <s v="US$"/>
    <n v="0"/>
    <n v="329.22"/>
    <x v="0"/>
    <x v="9"/>
  </r>
  <r>
    <d v="2022-02-28T00:00:00"/>
    <d v="2022-01-31T00:00:00"/>
    <n v="318"/>
    <s v="01-F001-00018396"/>
    <n v="20603295502"/>
    <s v="GRUPO GRANJERITO S.A.C"/>
    <x v="1"/>
    <s v="S/"/>
    <n v="210.81"/>
    <n v="0"/>
    <x v="0"/>
    <x v="9"/>
  </r>
  <r>
    <d v="2022-02-28T00:00:00"/>
    <d v="2022-01-31T00:00:00"/>
    <n v="318"/>
    <s v="08-FD01-00000136"/>
    <n v="20521036061"/>
    <s v="PANCARA S.A.C."/>
    <x v="0"/>
    <s v="US$"/>
    <n v="0"/>
    <n v="42.86"/>
    <x v="0"/>
    <x v="9"/>
  </r>
  <r>
    <d v="2022-02-28T00:00:00"/>
    <d v="2022-01-31T00:00:00"/>
    <n v="318"/>
    <s v="08-FD01-00000135"/>
    <n v="20521036061"/>
    <s v="PANCARA S.A.C."/>
    <x v="0"/>
    <s v="US$"/>
    <n v="0"/>
    <n v="42.86"/>
    <x v="0"/>
    <x v="9"/>
  </r>
  <r>
    <d v="2022-05-31T00:00:00"/>
    <d v="2022-02-07T00:00:00"/>
    <n v="311"/>
    <s v="03-B001-00000963"/>
    <n v="5071825"/>
    <s v="OROSCO QUIO WALTER MARTIN"/>
    <x v="3"/>
    <s v="S/"/>
    <n v="4126.47"/>
    <n v="0"/>
    <x v="0"/>
    <x v="1"/>
  </r>
  <r>
    <d v="2022-05-31T00:00:00"/>
    <d v="2022-02-07T00:00:00"/>
    <n v="311"/>
    <s v="03-B001-00000962"/>
    <n v="5071825"/>
    <s v="OROSCO QUIO WALTER MARTIN"/>
    <x v="3"/>
    <s v="S/"/>
    <n v="2183"/>
    <n v="0"/>
    <x v="0"/>
    <x v="1"/>
  </r>
  <r>
    <d v="2022-02-28T00:00:00"/>
    <d v="2022-02-09T00:00:00"/>
    <n v="309"/>
    <s v="01-F001-00019918"/>
    <n v="20479436470"/>
    <s v="GANADERA EL MILAGRO S.A.C."/>
    <x v="5"/>
    <s v="S/"/>
    <n v="1750.91"/>
    <n v="0"/>
    <x v="0"/>
    <x v="1"/>
  </r>
  <r>
    <d v="2022-02-28T00:00:00"/>
    <d v="2022-02-09T00:00:00"/>
    <n v="309"/>
    <s v="01-F001-00019919"/>
    <n v="20479436470"/>
    <s v="GANADERA EL MILAGRO S.A.C."/>
    <x v="5"/>
    <s v="US$"/>
    <n v="0"/>
    <n v="139.24"/>
    <x v="0"/>
    <x v="1"/>
  </r>
  <r>
    <d v="2022-02-28T00:00:00"/>
    <d v="2022-02-10T00:00:00"/>
    <n v="308"/>
    <s v="01-F001-00019811"/>
    <n v="20538241378"/>
    <s v="HUEVOS S.A.C."/>
    <x v="0"/>
    <s v="US$"/>
    <n v="0"/>
    <n v="2250.89"/>
    <x v="0"/>
    <x v="1"/>
  </r>
  <r>
    <d v="2022-02-28T00:00:00"/>
    <d v="2022-02-10T00:00:00"/>
    <n v="308"/>
    <s v="01-F001-00019810"/>
    <n v="20538241378"/>
    <s v="HUEVOS S.A.C."/>
    <x v="0"/>
    <s v="US$"/>
    <n v="0"/>
    <n v="658.44"/>
    <x v="0"/>
    <x v="1"/>
  </r>
  <r>
    <d v="2022-02-28T00:00:00"/>
    <d v="2022-02-13T00:00:00"/>
    <n v="305"/>
    <s v="01-F001-00019988"/>
    <n v="20479436470"/>
    <s v="GANADERA EL MILAGRO S.A.C."/>
    <x v="5"/>
    <s v="S/"/>
    <n v="1452.92"/>
    <n v="0"/>
    <x v="0"/>
    <x v="1"/>
  </r>
  <r>
    <d v="2022-02-28T00:00:00"/>
    <d v="2022-02-14T00:00:00"/>
    <n v="304"/>
    <s v="01-F001-00019717"/>
    <n v="20606113758"/>
    <s v="INVERSIONES PAMPA REAL S.A.C."/>
    <x v="0"/>
    <s v="S/"/>
    <n v="7000"/>
    <n v="0"/>
    <x v="0"/>
    <x v="1"/>
  </r>
  <r>
    <d v="2022-02-28T00:00:00"/>
    <d v="2022-02-17T00:00:00"/>
    <n v="301"/>
    <s v="03-B001-00000972"/>
    <n v="5071825"/>
    <s v="OROSCO QUIO WALTER MARTIN"/>
    <x v="3"/>
    <s v="S/"/>
    <n v="1167.04"/>
    <n v="0"/>
    <x v="0"/>
    <x v="1"/>
  </r>
  <r>
    <d v="2022-05-31T00:00:00"/>
    <d v="2022-02-17T00:00:00"/>
    <n v="301"/>
    <s v="03-B001-00000972"/>
    <n v="5071825"/>
    <s v="OROSCO QUIO WALTER MARTIN"/>
    <x v="3"/>
    <s v="S/"/>
    <n v="647.42999999999995"/>
    <n v="0"/>
    <x v="0"/>
    <x v="1"/>
  </r>
  <r>
    <d v="2022-02-28T00:00:00"/>
    <d v="2022-02-23T00:00:00"/>
    <n v="295"/>
    <s v="01-F001-00020112"/>
    <n v="20479436470"/>
    <s v="GANADERA EL MILAGRO S.A.C."/>
    <x v="5"/>
    <s v="S/"/>
    <n v="1920.62"/>
    <n v="0"/>
    <x v="0"/>
    <x v="1"/>
  </r>
  <r>
    <d v="2022-02-28T00:00:00"/>
    <d v="2022-02-25T00:00:00"/>
    <n v="293"/>
    <s v="01-F001-00019812"/>
    <n v="20606113758"/>
    <s v="INVERSIONES PAMPA REAL S.A.C."/>
    <x v="0"/>
    <s v="S/"/>
    <n v="1192.56"/>
    <n v="0"/>
    <x v="0"/>
    <x v="1"/>
  </r>
  <r>
    <d v="2022-02-28T00:00:00"/>
    <d v="2022-02-26T00:00:00"/>
    <n v="292"/>
    <s v="01-F001-00020146"/>
    <n v="10771472236"/>
    <s v="APAZA VALERIANO ANDERSON BLADIMIR."/>
    <x v="3"/>
    <s v="US$"/>
    <n v="0"/>
    <n v="604.16"/>
    <x v="0"/>
    <x v="1"/>
  </r>
  <r>
    <d v="2022-02-28T00:00:00"/>
    <d v="2022-03-02T00:00:00"/>
    <n v="288"/>
    <s v="01-F001-00020230"/>
    <n v="20479436470"/>
    <s v="GANADERA EL MILAGRO S.A.C."/>
    <x v="5"/>
    <s v="S/"/>
    <n v="1779.02"/>
    <n v="0"/>
    <x v="0"/>
    <x v="2"/>
  </r>
  <r>
    <d v="2022-02-28T00:00:00"/>
    <d v="2022-03-02T00:00:00"/>
    <n v="288"/>
    <s v="01-F001-00020233"/>
    <n v="20479436470"/>
    <s v="GANADERA EL MILAGRO S.A.C."/>
    <x v="5"/>
    <s v="US$"/>
    <n v="0"/>
    <n v="135.91"/>
    <x v="0"/>
    <x v="2"/>
  </r>
  <r>
    <d v="2022-02-28T00:00:00"/>
    <d v="2022-03-04T00:00:00"/>
    <n v="286"/>
    <s v="01-F001-00020015"/>
    <n v="20519902428"/>
    <s v="AGROPECUARIA CARIOCA S.A.C."/>
    <x v="3"/>
    <s v="US$"/>
    <n v="0"/>
    <n v="2721.08"/>
    <x v="0"/>
    <x v="2"/>
  </r>
  <r>
    <d v="2022-02-28T00:00:00"/>
    <d v="2022-03-05T00:00:00"/>
    <n v="285"/>
    <s v="01-F001-00020281"/>
    <n v="20479436470"/>
    <s v="GANADERA EL MILAGRO S.A.C."/>
    <x v="5"/>
    <s v="S/"/>
    <n v="1920.62"/>
    <n v="0"/>
    <x v="0"/>
    <x v="2"/>
  </r>
  <r>
    <d v="2022-02-28T00:00:00"/>
    <d v="2022-03-06T00:00:00"/>
    <n v="284"/>
    <s v="01-F001-00020084"/>
    <n v="20601317266"/>
    <s v="AGROINDUSTRIAS MOLINOS DEL SUR E.I.R.L."/>
    <x v="3"/>
    <s v="S/"/>
    <n v="5915.6"/>
    <n v="0"/>
    <x v="0"/>
    <x v="2"/>
  </r>
  <r>
    <d v="2022-02-28T00:00:00"/>
    <d v="2022-03-07T00:00:00"/>
    <n v="283"/>
    <s v="01-F001-00020086"/>
    <n v="20538241378"/>
    <s v="HUEVOS S.A.C."/>
    <x v="0"/>
    <s v="US$"/>
    <n v="0"/>
    <n v="329.22"/>
    <x v="0"/>
    <x v="2"/>
  </r>
  <r>
    <d v="2022-02-28T00:00:00"/>
    <d v="2022-03-10T00:00:00"/>
    <n v="280"/>
    <s v="01-F001-00020518"/>
    <n v="20608918818"/>
    <s v="ALIMENTOS LA ESPERANZA S.A.C."/>
    <x v="3"/>
    <s v="US$"/>
    <n v="0"/>
    <n v="236"/>
    <x v="0"/>
    <x v="2"/>
  </r>
  <r>
    <d v="2022-02-28T00:00:00"/>
    <d v="2022-03-10T00:00:00"/>
    <n v="280"/>
    <s v="01-F001-00020520"/>
    <n v="20608918818"/>
    <s v="ALIMENTOS LA ESPERANZA S.A.C."/>
    <x v="3"/>
    <s v="US$"/>
    <n v="0"/>
    <n v="1103.3"/>
    <x v="0"/>
    <x v="2"/>
  </r>
  <r>
    <d v="2022-02-28T00:00:00"/>
    <d v="2022-03-10T00:00:00"/>
    <n v="280"/>
    <s v="01-F001-00020521"/>
    <n v="20608918818"/>
    <s v="ALIMENTOS LA ESPERANZA S.A.C."/>
    <x v="3"/>
    <s v="S/"/>
    <n v="860"/>
    <n v="0"/>
    <x v="0"/>
    <x v="2"/>
  </r>
  <r>
    <d v="2022-03-10T00:00:00"/>
    <d v="2022-03-10T00:00:00"/>
    <n v="280"/>
    <s v="01-E001-00000300"/>
    <n v="20479436470"/>
    <s v="GANADERA EL MILAGRO S.A.C."/>
    <x v="5"/>
    <s v="S/"/>
    <n v="2122.9499999999998"/>
    <n v="0"/>
    <x v="0"/>
    <x v="2"/>
  </r>
  <r>
    <d v="2022-03-11T00:00:00"/>
    <d v="2022-03-11T00:00:00"/>
    <n v="279"/>
    <s v="01-E001-00000322"/>
    <n v="20601317266"/>
    <s v="AGROINDUSTRIAS MOLINOS DEL SUR E.I.R.L."/>
    <x v="3"/>
    <s v="US$"/>
    <n v="0"/>
    <n v="2006"/>
    <x v="0"/>
    <x v="2"/>
  </r>
  <r>
    <d v="2022-03-11T00:00:00"/>
    <d v="2022-03-11T00:00:00"/>
    <n v="279"/>
    <s v="01-E001-00000323"/>
    <n v="20601317266"/>
    <s v="AGROINDUSTRIAS MOLINOS DEL SUR E.I.R.L."/>
    <x v="3"/>
    <s v="S/"/>
    <n v="915.87"/>
    <n v="0"/>
    <x v="0"/>
    <x v="2"/>
  </r>
  <r>
    <d v="2022-02-28T00:00:00"/>
    <d v="2022-03-11T00:00:00"/>
    <n v="279"/>
    <s v="01-F001-00020340"/>
    <n v="20479436470"/>
    <s v="GANADERA EL MILAGRO S.A.C."/>
    <x v="5"/>
    <s v="S/"/>
    <n v="1637.42"/>
    <n v="0"/>
    <x v="0"/>
    <x v="2"/>
  </r>
  <r>
    <d v="2022-02-28T00:00:00"/>
    <d v="2022-03-13T00:00:00"/>
    <n v="277"/>
    <s v="01-F001-00020151"/>
    <n v="20538241378"/>
    <s v="HUEVOS S.A.C."/>
    <x v="0"/>
    <s v="US$"/>
    <n v="0"/>
    <n v="345.15"/>
    <x v="0"/>
    <x v="2"/>
  </r>
  <r>
    <d v="2022-03-17T00:00:00"/>
    <d v="2022-03-17T00:00:00"/>
    <n v="273"/>
    <s v="01-E001-00000389"/>
    <n v="20479436470"/>
    <s v="GANADERA EL MILAGRO S.A.C."/>
    <x v="5"/>
    <s v="US$"/>
    <n v="0"/>
    <n v="145.44999999999999"/>
    <x v="0"/>
    <x v="2"/>
  </r>
  <r>
    <d v="2022-03-17T00:00:00"/>
    <d v="2022-03-17T00:00:00"/>
    <n v="273"/>
    <s v="01-E001-00000388"/>
    <n v="20479436470"/>
    <s v="GANADERA EL MILAGRO S.A.C."/>
    <x v="5"/>
    <s v="S/"/>
    <n v="2425.23"/>
    <n v="0"/>
    <x v="0"/>
    <x v="2"/>
  </r>
  <r>
    <d v="2022-02-28T00:00:00"/>
    <d v="2022-03-18T00:00:00"/>
    <n v="272"/>
    <s v="01-F001-00020424"/>
    <n v="20479436470"/>
    <s v="GANADERA EL MILAGRO S.A.C."/>
    <x v="5"/>
    <s v="S/"/>
    <n v="1637.42"/>
    <n v="0"/>
    <x v="0"/>
    <x v="2"/>
  </r>
  <r>
    <d v="2022-02-28T00:00:00"/>
    <d v="2022-03-19T00:00:00"/>
    <n v="271"/>
    <s v="01-F001-00020276"/>
    <n v="20538241378"/>
    <s v="HUEVOS S.A.C."/>
    <x v="0"/>
    <s v="US$"/>
    <n v="0"/>
    <n v="230.1"/>
    <x v="0"/>
    <x v="2"/>
  </r>
  <r>
    <d v="2022-02-28T00:00:00"/>
    <d v="2022-03-19T00:00:00"/>
    <n v="271"/>
    <s v="01-F001-00020275"/>
    <n v="20538241378"/>
    <s v="HUEVOS S.A.C."/>
    <x v="0"/>
    <s v="US$"/>
    <n v="0"/>
    <n v="424.8"/>
    <x v="0"/>
    <x v="2"/>
  </r>
  <r>
    <d v="2022-03-26T00:00:00"/>
    <d v="2022-03-26T00:00:00"/>
    <n v="264"/>
    <s v="01-E001-00000496"/>
    <n v="20604910766"/>
    <s v="FVL GRANJA LOS ANGELES S.A.C."/>
    <x v="0"/>
    <s v="S/"/>
    <n v="8260"/>
    <n v="0"/>
    <x v="0"/>
    <x v="2"/>
  </r>
  <r>
    <d v="2022-02-28T00:00:00"/>
    <d v="2022-03-28T00:00:00"/>
    <n v="262"/>
    <s v="01-F001-00020390"/>
    <n v="20538241378"/>
    <s v="HUEVOS S.A.C."/>
    <x v="0"/>
    <s v="US$"/>
    <n v="0"/>
    <n v="1699.2"/>
    <x v="0"/>
    <x v="2"/>
  </r>
  <r>
    <d v="2022-02-28T00:00:00"/>
    <d v="2022-03-31T00:00:00"/>
    <n v="259"/>
    <s v="01-F001-00020403"/>
    <n v="20519902428"/>
    <s v="AGROPECUARIA CARIOCA S.A.C."/>
    <x v="3"/>
    <s v="US$"/>
    <n v="0"/>
    <n v="2947.64"/>
    <x v="0"/>
    <x v="2"/>
  </r>
  <r>
    <d v="2022-03-17T00:00:00"/>
    <d v="2022-04-01T00:00:00"/>
    <n v="258"/>
    <s v="01-E001-00000383"/>
    <n v="20608918818"/>
    <s v="ALIMENTOS LA ESPERANZA S.A.C."/>
    <x v="3"/>
    <s v="US$"/>
    <n v="0"/>
    <n v="1063.18"/>
    <x v="0"/>
    <x v="3"/>
  </r>
  <r>
    <d v="2022-03-18T00:00:00"/>
    <d v="2022-04-02T00:00:00"/>
    <n v="257"/>
    <s v="01-E001-00000398"/>
    <n v="20608918818"/>
    <s v="ALIMENTOS LA ESPERANZA S.A.C."/>
    <x v="3"/>
    <s v="US$"/>
    <n v="0"/>
    <n v="106.2"/>
    <x v="0"/>
    <x v="3"/>
  </r>
  <r>
    <d v="2022-03-19T00:00:00"/>
    <d v="2022-04-03T00:00:00"/>
    <n v="256"/>
    <s v="01-E001-00000418"/>
    <n v="20608918818"/>
    <s v="ALIMENTOS LA ESPERANZA S.A.C."/>
    <x v="3"/>
    <s v="US$"/>
    <n v="0"/>
    <n v="236"/>
    <x v="0"/>
    <x v="3"/>
  </r>
  <r>
    <d v="2022-02-28T00:00:00"/>
    <d v="2022-04-11T00:00:00"/>
    <n v="248"/>
    <s v="01-F001-00020555"/>
    <n v="20519902428"/>
    <s v="AGROPECUARIA CARIOCA S.A.C."/>
    <x v="3"/>
    <s v="S/"/>
    <n v="1419.2"/>
    <n v="0"/>
    <x v="0"/>
    <x v="3"/>
  </r>
  <r>
    <d v="2022-03-31T00:00:00"/>
    <d v="2022-04-15T00:00:00"/>
    <n v="244"/>
    <s v="01-FN01-00000061"/>
    <n v="20602816568"/>
    <s v="GRANJA EL SOLITARIO S.A.C."/>
    <x v="1"/>
    <s v="S/"/>
    <n v="10797"/>
    <n v="0"/>
    <x v="0"/>
    <x v="3"/>
  </r>
  <r>
    <d v="2022-03-31T00:00:00"/>
    <d v="2022-04-15T00:00:00"/>
    <n v="244"/>
    <s v="01-FN01-00000060"/>
    <n v="20602816568"/>
    <s v="GRANJA EL SOLITARIO S.A.C."/>
    <x v="1"/>
    <s v="S/"/>
    <n v="10797"/>
    <n v="0"/>
    <x v="0"/>
    <x v="3"/>
  </r>
  <r>
    <d v="2022-03-31T00:00:00"/>
    <d v="2022-04-15T00:00:00"/>
    <n v="244"/>
    <s v="01-FN01-00000059"/>
    <n v="20602816568"/>
    <s v="GRANJA EL SOLITARIO S.A.C."/>
    <x v="1"/>
    <s v="S/"/>
    <n v="10797"/>
    <n v="0"/>
    <x v="0"/>
    <x v="3"/>
  </r>
  <r>
    <d v="2022-03-16T00:00:00"/>
    <d v="2022-04-15T00:00:00"/>
    <n v="244"/>
    <s v="01-E001-00000366"/>
    <n v="20538241378"/>
    <s v="HUEVOS S.A.C."/>
    <x v="0"/>
    <s v="US$"/>
    <n v="0"/>
    <n v="1035.45"/>
    <x v="0"/>
    <x v="3"/>
  </r>
  <r>
    <d v="2022-03-07T00:00:00"/>
    <d v="2022-04-21T00:00:00"/>
    <n v="238"/>
    <s v="01-E001-00000249"/>
    <n v="20538241378"/>
    <s v="HUEVOS S.A.C."/>
    <x v="0"/>
    <s v="US$"/>
    <n v="0"/>
    <n v="1871.78"/>
    <x v="0"/>
    <x v="3"/>
  </r>
  <r>
    <d v="2022-03-24T00:00:00"/>
    <d v="2022-04-23T00:00:00"/>
    <n v="236"/>
    <s v="01-E001-00000453"/>
    <n v="20522730212"/>
    <s v="CORPORACION SOLFAB SAC"/>
    <x v="1"/>
    <s v="US$"/>
    <n v="0"/>
    <n v="638.36"/>
    <x v="0"/>
    <x v="3"/>
  </r>
  <r>
    <d v="2022-03-14T00:00:00"/>
    <d v="2022-04-28T00:00:00"/>
    <n v="231"/>
    <s v="01-E001-00000335"/>
    <n v="20519902428"/>
    <s v="AGROPECUARIA CARIOCA S.A.C."/>
    <x v="3"/>
    <s v="US$"/>
    <n v="0"/>
    <n v="2947.64"/>
    <x v="0"/>
    <x v="3"/>
  </r>
  <r>
    <d v="2022-03-31T00:00:00"/>
    <d v="2022-04-30T00:00:00"/>
    <n v="229"/>
    <s v="01-FN01-00000062"/>
    <n v="20601563216"/>
    <s v="AVICOLA QG S.A.C."/>
    <x v="0"/>
    <s v="S/"/>
    <n v="10974"/>
    <n v="0"/>
    <x v="0"/>
    <x v="3"/>
  </r>
  <r>
    <d v="2022-05-02T00:00:00"/>
    <d v="2022-05-02T00:00:00"/>
    <n v="227"/>
    <s v="01-FN01-00000420"/>
    <n v="20538241378"/>
    <s v="HUEVOS S.A.C."/>
    <x v="0"/>
    <s v="US$"/>
    <n v="0"/>
    <n v="1233.3399999999999"/>
    <x v="0"/>
    <x v="4"/>
  </r>
  <r>
    <d v="2022-03-24T00:00:00"/>
    <d v="2022-05-08T00:00:00"/>
    <n v="221"/>
    <s v="01-E001-00000475"/>
    <n v="20538241378"/>
    <s v="HUEVOS S.A.C."/>
    <x v="0"/>
    <s v="US$"/>
    <n v="0"/>
    <n v="287.63"/>
    <x v="0"/>
    <x v="4"/>
  </r>
  <r>
    <d v="2022-03-26T00:00:00"/>
    <d v="2022-05-10T00:00:00"/>
    <n v="219"/>
    <s v="01-E001-00000500"/>
    <n v="20538241378"/>
    <s v="HUEVOS S.A.C."/>
    <x v="0"/>
    <s v="US$"/>
    <n v="0"/>
    <n v="575.25"/>
    <x v="0"/>
    <x v="4"/>
  </r>
  <r>
    <d v="2022-04-13T00:00:00"/>
    <d v="2022-05-13T00:00:00"/>
    <n v="216"/>
    <s v="01-FN01-00000225"/>
    <n v="20479436470"/>
    <s v="GANADERA EL MILAGRO S.A.C."/>
    <x v="5"/>
    <s v="S/"/>
    <n v="2627.57"/>
    <n v="0"/>
    <x v="0"/>
    <x v="4"/>
  </r>
  <r>
    <d v="2022-04-13T00:00:00"/>
    <d v="2022-05-13T00:00:00"/>
    <n v="216"/>
    <s v="01-FN01-00000226"/>
    <n v="20479436470"/>
    <s v="GANADERA EL MILAGRO S.A.C."/>
    <x v="5"/>
    <s v="US$"/>
    <n v="0"/>
    <n v="211.29"/>
    <x v="0"/>
    <x v="4"/>
  </r>
  <r>
    <d v="2022-04-06T00:00:00"/>
    <d v="2022-05-21T00:00:00"/>
    <n v="208"/>
    <s v="01-FN01-00000118"/>
    <n v="20538241378"/>
    <s v="HUEVOS S.A.C."/>
    <x v="0"/>
    <s v="US$"/>
    <n v="0"/>
    <n v="3186"/>
    <x v="0"/>
    <x v="4"/>
  </r>
  <r>
    <d v="2022-03-24T00:00:00"/>
    <d v="2022-05-23T00:00:00"/>
    <n v="206"/>
    <s v="01-E001-00000474"/>
    <n v="20538241378"/>
    <s v="HUEVOS S.A.C."/>
    <x v="0"/>
    <s v="US$"/>
    <n v="0"/>
    <n v="415.95"/>
    <x v="0"/>
    <x v="4"/>
  </r>
  <r>
    <d v="2022-05-25T00:00:00"/>
    <d v="2022-05-25T00:00:00"/>
    <n v="204"/>
    <s v="03-BN01-00000056"/>
    <n v="45463765"/>
    <s v="ROJAS HUAYAPA RICKY EDISON"/>
    <x v="3"/>
    <s v="US$"/>
    <n v="0"/>
    <n v="209.45"/>
    <x v="0"/>
    <x v="4"/>
  </r>
  <r>
    <d v="2022-04-11T00:00:00"/>
    <d v="2022-05-26T00:00:00"/>
    <n v="203"/>
    <s v="01-FN01-00000188"/>
    <n v="20538241378"/>
    <s v="HUEVOS S.A.C."/>
    <x v="0"/>
    <s v="S/"/>
    <n v="703.42"/>
    <n v="0"/>
    <x v="0"/>
    <x v="4"/>
  </r>
  <r>
    <d v="2022-04-11T00:00:00"/>
    <d v="2022-05-26T00:00:00"/>
    <n v="203"/>
    <s v="01-FN01-00000184"/>
    <n v="20538241378"/>
    <s v="HUEVOS S.A.C."/>
    <x v="0"/>
    <s v="S/"/>
    <n v="3093.15"/>
    <n v="0"/>
    <x v="0"/>
    <x v="4"/>
  </r>
  <r>
    <d v="2022-04-26T00:00:00"/>
    <d v="2022-05-26T00:00:00"/>
    <n v="203"/>
    <s v="01-FN01-00000360"/>
    <n v="20608316788"/>
    <s v="INDUSTRIA ALIMENTARIA TITO S.A.C."/>
    <x v="3"/>
    <s v="S/"/>
    <n v="3430.83"/>
    <n v="0"/>
    <x v="0"/>
    <x v="4"/>
  </r>
  <r>
    <d v="2022-04-12T00:00:00"/>
    <d v="2022-05-27T00:00:00"/>
    <n v="202"/>
    <s v="01-FN01-00000212"/>
    <n v="20519902428"/>
    <s v="AGROPECUARIA CARIOCA S.A.C."/>
    <x v="3"/>
    <s v="US$"/>
    <n v="0"/>
    <n v="1582.38"/>
    <x v="0"/>
    <x v="4"/>
  </r>
  <r>
    <d v="2022-04-12T00:00:00"/>
    <d v="2022-05-27T00:00:00"/>
    <n v="202"/>
    <s v="01-FN01-00000213"/>
    <n v="20519902428"/>
    <s v="AGROPECUARIA CARIOCA S.A.C."/>
    <x v="3"/>
    <s v="S/"/>
    <n v="3351.2"/>
    <n v="0"/>
    <x v="0"/>
    <x v="4"/>
  </r>
  <r>
    <d v="2022-04-13T00:00:00"/>
    <d v="2022-05-28T00:00:00"/>
    <n v="201"/>
    <s v="01-FN01-00000242"/>
    <n v="20519902428"/>
    <s v="AGROPECUARIA CARIOCA S.A.C."/>
    <x v="3"/>
    <s v="US$"/>
    <n v="0"/>
    <n v="672.6"/>
    <x v="0"/>
    <x v="4"/>
  </r>
  <r>
    <d v="2022-04-21T00:00:00"/>
    <d v="2022-06-05T00:00:00"/>
    <n v="193"/>
    <s v="01-FN01-00000274"/>
    <n v="20538241378"/>
    <s v="HUEVOS S.A.C."/>
    <x v="0"/>
    <s v="US$"/>
    <n v="0"/>
    <n v="424.8"/>
    <x v="0"/>
    <x v="5"/>
  </r>
  <r>
    <d v="2022-04-22T00:00:00"/>
    <d v="2022-06-06T00:00:00"/>
    <n v="192"/>
    <s v="01-FN01-00000319"/>
    <n v="20538241378"/>
    <s v="HUEVOS S.A.C."/>
    <x v="0"/>
    <s v="S/"/>
    <n v="708"/>
    <n v="0"/>
    <x v="0"/>
    <x v="5"/>
  </r>
  <r>
    <d v="2022-04-22T00:00:00"/>
    <d v="2022-06-06T00:00:00"/>
    <n v="192"/>
    <s v="01-FN01-00000309"/>
    <n v="20538241378"/>
    <s v="HUEVOS S.A.C."/>
    <x v="0"/>
    <s v="S/"/>
    <n v="6525.57"/>
    <n v="0"/>
    <x v="0"/>
    <x v="5"/>
  </r>
  <r>
    <d v="2022-04-22T00:00:00"/>
    <d v="2022-06-06T00:00:00"/>
    <n v="192"/>
    <s v="01-FN01-00000316"/>
    <n v="20538241378"/>
    <s v="HUEVOS S.A.C."/>
    <x v="0"/>
    <s v="US$"/>
    <n v="0"/>
    <n v="2796.6"/>
    <x v="0"/>
    <x v="5"/>
  </r>
  <r>
    <d v="2022-03-18T00:00:00"/>
    <d v="2022-06-16T00:00:00"/>
    <n v="182"/>
    <s v="01-E001-00000397"/>
    <n v="20608918818"/>
    <s v="ALIMENTOS LA ESPERANZA S.A.C."/>
    <x v="3"/>
    <s v="S/"/>
    <n v="2596"/>
    <n v="0"/>
    <x v="0"/>
    <x v="5"/>
  </r>
  <r>
    <d v="2022-05-02T00:00:00"/>
    <d v="2022-06-16T00:00:00"/>
    <n v="182"/>
    <s v="01-FN01-00000417"/>
    <n v="20538241378"/>
    <s v="HUEVOS S.A.C."/>
    <x v="0"/>
    <s v="S/"/>
    <n v="932.22"/>
    <n v="0"/>
    <x v="0"/>
    <x v="5"/>
  </r>
  <r>
    <d v="2022-05-02T00:00:00"/>
    <d v="2022-06-16T00:00:00"/>
    <n v="182"/>
    <s v="01-FN01-00000415"/>
    <n v="20538241378"/>
    <s v="HUEVOS S.A.C."/>
    <x v="0"/>
    <s v="S/"/>
    <n v="1345.2"/>
    <n v="0"/>
    <x v="0"/>
    <x v="5"/>
  </r>
  <r>
    <d v="2022-05-02T00:00:00"/>
    <d v="2022-06-16T00:00:00"/>
    <n v="182"/>
    <s v="01-FN01-00000422"/>
    <n v="20538241378"/>
    <s v="HUEVOS S.A.C."/>
    <x v="0"/>
    <s v="S/"/>
    <n v="2796.6"/>
    <n v="0"/>
    <x v="0"/>
    <x v="5"/>
  </r>
  <r>
    <d v="2022-05-17T00:00:00"/>
    <d v="2022-06-16T00:00:00"/>
    <n v="182"/>
    <s v="01-FN01-00000589"/>
    <n v="20527979936"/>
    <s v="MULTIGRANJA SANTA ROSA S.C.R.L."/>
    <x v="3"/>
    <s v="S/"/>
    <n v="2688.93"/>
    <n v="0"/>
    <x v="0"/>
    <x v="5"/>
  </r>
  <r>
    <d v="2022-06-22T00:00:00"/>
    <d v="2022-06-22T00:00:00"/>
    <n v="176"/>
    <s v="03-BN01-00000090"/>
    <n v="41724031"/>
    <s v="NAVARRO ARHUATA JULIO HERNAN"/>
    <x v="3"/>
    <s v="US$"/>
    <n v="0"/>
    <n v="54.74"/>
    <x v="1"/>
    <x v="5"/>
  </r>
  <r>
    <d v="2022-05-27T00:00:00"/>
    <d v="2022-06-26T00:00:00"/>
    <n v="172"/>
    <s v="01-FN01-00000698"/>
    <n v="20393226332"/>
    <s v="AVICOLA JAPI S.R.L."/>
    <x v="2"/>
    <s v="S/"/>
    <n v="4209.46"/>
    <n v="0"/>
    <x v="1"/>
    <x v="5"/>
  </r>
  <r>
    <d v="2022-05-12T00:00:00"/>
    <d v="2022-06-26T00:00:00"/>
    <n v="172"/>
    <s v="01-FN01-00000550"/>
    <n v="20538241378"/>
    <s v="HUEVOS S.A.C."/>
    <x v="0"/>
    <s v="US$"/>
    <n v="0"/>
    <n v="2706.33"/>
    <x v="1"/>
    <x v="5"/>
  </r>
  <r>
    <d v="2022-05-12T00:00:00"/>
    <d v="2022-06-26T00:00:00"/>
    <n v="172"/>
    <s v="01-FN01-00000551"/>
    <n v="20538241378"/>
    <s v="HUEVOS S.A.C."/>
    <x v="0"/>
    <s v="US$"/>
    <n v="0"/>
    <n v="395.3"/>
    <x v="1"/>
    <x v="5"/>
  </r>
  <r>
    <d v="2022-05-23T00:00:00"/>
    <d v="2022-07-07T00:00:00"/>
    <n v="161"/>
    <s v="01-FN01-00000644"/>
    <n v="20538241378"/>
    <s v="HUEVOS S.A.C."/>
    <x v="0"/>
    <s v="S/"/>
    <n v="4661"/>
    <n v="0"/>
    <x v="1"/>
    <x v="10"/>
  </r>
  <r>
    <d v="2022-05-23T00:00:00"/>
    <d v="2022-07-07T00:00:00"/>
    <n v="161"/>
    <s v="01-FN01-00000637"/>
    <n v="20538241378"/>
    <s v="HUEVOS S.A.C."/>
    <x v="0"/>
    <s v="US$"/>
    <n v="0"/>
    <n v="424.8"/>
    <x v="1"/>
    <x v="10"/>
  </r>
  <r>
    <d v="2022-05-26T00:00:00"/>
    <d v="2022-07-10T00:00:00"/>
    <n v="158"/>
    <s v="01-FN01-00000680"/>
    <n v="20538241378"/>
    <s v="HUEVOS S.A.C."/>
    <x v="0"/>
    <s v="S/"/>
    <n v="11460.09"/>
    <n v="0"/>
    <x v="1"/>
    <x v="10"/>
  </r>
  <r>
    <d v="2022-07-12T00:00:00"/>
    <d v="2022-07-12T00:00:00"/>
    <n v="156"/>
    <s v="03-BN01-00000105"/>
    <n v="29345955"/>
    <s v="CORNEJO VALENCIA VICTOR ANGEL"/>
    <x v="3"/>
    <s v="S/"/>
    <n v="1170.3699999999999"/>
    <n v="0"/>
    <x v="1"/>
    <x v="10"/>
  </r>
  <r>
    <d v="2022-07-13T00:00:00"/>
    <d v="2022-07-13T00:00:00"/>
    <n v="155"/>
    <s v="01-FN01-00001298"/>
    <n v="20608316788"/>
    <s v="INDUSTRIA ALIMENTARIA TITO S.A.C."/>
    <x v="3"/>
    <s v="S/"/>
    <n v="2666.32"/>
    <n v="0"/>
    <x v="1"/>
    <x v="10"/>
  </r>
  <r>
    <d v="2022-07-13T00:00:00"/>
    <d v="2022-07-13T00:00:00"/>
    <n v="155"/>
    <s v="01-FN01-00001309"/>
    <n v="20604105324"/>
    <s v="NUTRIMENTOS TECHNOLOGI S.R.L."/>
    <x v="3"/>
    <s v="S/"/>
    <n v="5764.3"/>
    <n v="0"/>
    <x v="1"/>
    <x v="10"/>
  </r>
  <r>
    <d v="2022-05-30T00:00:00"/>
    <d v="2022-07-14T00:00:00"/>
    <n v="154"/>
    <s v="01-FN01-00000718"/>
    <n v="20604105324"/>
    <s v="NUTRIMENTOS TECHNOLOGI S.R.L."/>
    <x v="3"/>
    <s v="US$"/>
    <n v="0"/>
    <n v="212.4"/>
    <x v="1"/>
    <x v="10"/>
  </r>
  <r>
    <d v="2022-06-20T00:00:00"/>
    <d v="2022-07-20T00:00:00"/>
    <n v="148"/>
    <s v="01-FN01-00000965"/>
    <n v="20608316788"/>
    <s v="INDUSTRIA ALIMENTARIA TITO S.A.C."/>
    <x v="3"/>
    <s v="S/"/>
    <n v="3463.26"/>
    <n v="0"/>
    <x v="1"/>
    <x v="10"/>
  </r>
  <r>
    <d v="2022-06-09T00:00:00"/>
    <d v="2022-07-24T00:00:00"/>
    <n v="144"/>
    <s v="01-FN01-00000860"/>
    <n v="20538241378"/>
    <s v="HUEVOS S.A.C."/>
    <x v="0"/>
    <s v="S/"/>
    <n v="1581.2"/>
    <n v="0"/>
    <x v="1"/>
    <x v="10"/>
  </r>
  <r>
    <d v="2022-07-25T00:00:00"/>
    <d v="2022-07-25T00:00:00"/>
    <n v="143"/>
    <s v="01-FN01-00001423"/>
    <n v="20527979936"/>
    <s v="MULTIGRANJA SANTA ROSA S.C.R.L."/>
    <x v="3"/>
    <s v="S/"/>
    <n v="5428.89"/>
    <n v="0"/>
    <x v="1"/>
    <x v="10"/>
  </r>
  <r>
    <d v="2022-07-22T00:00:00"/>
    <d v="2022-07-29T00:00:00"/>
    <n v="139"/>
    <s v="01-FN01-00001408"/>
    <n v="20440309853"/>
    <s v="EVANS CARGO S.A.C."/>
    <x v="4"/>
    <s v="S/"/>
    <n v="1060.9100000000001"/>
    <n v="0"/>
    <x v="1"/>
    <x v="10"/>
  </r>
  <r>
    <d v="2022-07-05T00:00:00"/>
    <d v="2022-08-04T00:00:00"/>
    <n v="133"/>
    <s v="01-FN01-00001222"/>
    <n v="20548669767"/>
    <s v="DACHPIGS E.I.R.L."/>
    <x v="2"/>
    <s v="US$"/>
    <n v="0"/>
    <n v="231.28"/>
    <x v="1"/>
    <x v="6"/>
  </r>
  <r>
    <d v="2022-08-08T00:00:00"/>
    <d v="2022-08-08T00:00:00"/>
    <n v="129"/>
    <s v="01-FN05-00000030"/>
    <n v="1"/>
    <s v="ELANCO COLOMBIA SAS"/>
    <x v="4"/>
    <s v="US$"/>
    <n v="0"/>
    <n v="3223.45"/>
    <x v="1"/>
    <x v="6"/>
  </r>
  <r>
    <d v="2022-06-13T00:00:00"/>
    <d v="2022-08-12T00:00:00"/>
    <n v="125"/>
    <s v="01-FN01-00000902"/>
    <n v="20601830818"/>
    <s v="FUNDO VILLA ESMERALDA E.I.R.L."/>
    <x v="0"/>
    <s v="S/"/>
    <n v="1416"/>
    <n v="0"/>
    <x v="1"/>
    <x v="6"/>
  </r>
  <r>
    <d v="2022-06-13T00:00:00"/>
    <d v="2022-08-12T00:00:00"/>
    <n v="125"/>
    <s v="01-FN01-00000901"/>
    <n v="20601830818"/>
    <s v="FUNDO VILLA ESMERALDA E.I.R.L."/>
    <x v="0"/>
    <s v="US$"/>
    <n v="0"/>
    <n v="236"/>
    <x v="1"/>
    <x v="6"/>
  </r>
  <r>
    <d v="2022-06-15T00:00:00"/>
    <d v="2022-08-14T00:00:00"/>
    <n v="123"/>
    <s v="01-FN01-00000932"/>
    <n v="20601830818"/>
    <s v="FUNDO VILLA ESMERALDA E.I.R.L."/>
    <x v="0"/>
    <s v="US$"/>
    <n v="0"/>
    <n v="206.5"/>
    <x v="1"/>
    <x v="6"/>
  </r>
  <r>
    <d v="2022-06-15T00:00:00"/>
    <d v="2022-08-14T00:00:00"/>
    <n v="123"/>
    <s v="01-FN01-00000930"/>
    <n v="20601830818"/>
    <s v="FUNDO VILLA ESMERALDA E.I.R.L."/>
    <x v="0"/>
    <s v="US$"/>
    <n v="0"/>
    <n v="1020.7"/>
    <x v="1"/>
    <x v="6"/>
  </r>
  <r>
    <d v="2022-07-15T00:00:00"/>
    <d v="2022-08-14T00:00:00"/>
    <n v="123"/>
    <s v="01-FN01-00001338"/>
    <n v="20538241378"/>
    <s v="HUEVOS S.A.C."/>
    <x v="0"/>
    <s v="S/"/>
    <n v="703.42"/>
    <n v="0"/>
    <x v="1"/>
    <x v="6"/>
  </r>
  <r>
    <d v="2022-06-17T00:00:00"/>
    <d v="2022-08-16T00:00:00"/>
    <n v="121"/>
    <s v="01-FN01-00000954"/>
    <n v="20601830818"/>
    <s v="FUNDO VILLA ESMERALDA E.I.R.L."/>
    <x v="0"/>
    <s v="S/"/>
    <n v="1880.92"/>
    <n v="0"/>
    <x v="1"/>
    <x v="6"/>
  </r>
  <r>
    <d v="2022-08-16T00:00:00"/>
    <d v="2022-08-16T00:00:00"/>
    <n v="121"/>
    <s v="01-FN01-00001653"/>
    <n v="20527979936"/>
    <s v="MULTIGRANJA SANTA ROSA S.C.R.L."/>
    <x v="3"/>
    <s v="S/"/>
    <n v="778.8"/>
    <n v="0"/>
    <x v="1"/>
    <x v="6"/>
  </r>
  <r>
    <d v="2022-08-16T00:00:00"/>
    <d v="2022-08-16T00:00:00"/>
    <n v="121"/>
    <s v="01-FN01-00001652"/>
    <n v="20527979936"/>
    <s v="MULTIGRANJA SANTA ROSA S.C.R.L."/>
    <x v="3"/>
    <s v="US$"/>
    <n v="0"/>
    <n v="103.25"/>
    <x v="1"/>
    <x v="6"/>
  </r>
  <r>
    <d v="2022-08-16T00:00:00"/>
    <d v="2022-08-16T00:00:00"/>
    <n v="121"/>
    <s v="01-FN01-00001655"/>
    <n v="20527979936"/>
    <s v="MULTIGRANJA SANTA ROSA S.C.R.L."/>
    <x v="3"/>
    <s v="S/"/>
    <n v="4071"/>
    <n v="0"/>
    <x v="1"/>
    <x v="6"/>
  </r>
  <r>
    <d v="2022-08-16T00:00:00"/>
    <d v="2022-08-16T00:00:00"/>
    <n v="121"/>
    <s v="01-FN01-00001654"/>
    <n v="20527979936"/>
    <s v="MULTIGRANJA SANTA ROSA S.C.R.L."/>
    <x v="3"/>
    <s v="US$"/>
    <n v="0"/>
    <n v="206.5"/>
    <x v="1"/>
    <x v="6"/>
  </r>
  <r>
    <d v="2022-07-09T00:00:00"/>
    <d v="2022-08-23T00:00:00"/>
    <n v="114"/>
    <s v="01-FN01-00001253"/>
    <n v="20538241378"/>
    <s v="HUEVOS S.A.C."/>
    <x v="0"/>
    <s v="S/"/>
    <n v="2796.6"/>
    <n v="0"/>
    <x v="1"/>
    <x v="6"/>
  </r>
  <r>
    <d v="2022-06-24T00:00:00"/>
    <d v="2022-08-23T00:00:00"/>
    <n v="114"/>
    <s v="01-FN01-00001058"/>
    <n v="10308337931"/>
    <s v="PACO JARAMILLO PERSI"/>
    <x v="2"/>
    <s v="US$"/>
    <n v="0"/>
    <n v="3079.8"/>
    <x v="1"/>
    <x v="6"/>
  </r>
  <r>
    <d v="2022-07-25T00:00:00"/>
    <d v="2022-08-24T00:00:00"/>
    <n v="113"/>
    <s v="01-FN01-00001424"/>
    <n v="20455732574"/>
    <s v="INTEGRACION MONZON E.I.R.L."/>
    <x v="3"/>
    <s v="S/"/>
    <n v="2265.23"/>
    <n v="0"/>
    <x v="1"/>
    <x v="6"/>
  </r>
  <r>
    <d v="2022-07-26T00:00:00"/>
    <d v="2022-08-25T00:00:00"/>
    <n v="112"/>
    <s v="03-BN01-00000115"/>
    <n v="29417677"/>
    <s v="SANTANDER SANTANDER VILMA VIRGINIA"/>
    <x v="3"/>
    <s v="S/"/>
    <n v="1375.38"/>
    <n v="0"/>
    <x v="1"/>
    <x v="6"/>
  </r>
  <r>
    <d v="2022-07-26T00:00:00"/>
    <d v="2022-08-25T00:00:00"/>
    <n v="112"/>
    <s v="01-FN01-00001464"/>
    <n v="10444550410"/>
    <s v="ZEA ABARCA ZAMANTHA"/>
    <x v="3"/>
    <s v="US$"/>
    <n v="0"/>
    <n v="430.07"/>
    <x v="1"/>
    <x v="6"/>
  </r>
  <r>
    <d v="2022-06-27T00:00:00"/>
    <d v="2022-08-26T00:00:00"/>
    <n v="111"/>
    <s v="01-FN01-00001105"/>
    <n v="20601830818"/>
    <s v="FUNDO VILLA ESMERALDA E.I.R.L."/>
    <x v="0"/>
    <s v="S/"/>
    <n v="5147.75"/>
    <n v="0"/>
    <x v="1"/>
    <x v="6"/>
  </r>
  <r>
    <d v="2022-07-12T00:00:00"/>
    <d v="2022-08-26T00:00:00"/>
    <n v="111"/>
    <s v="01-FN01-00001292"/>
    <n v="20538241378"/>
    <s v="HUEVOS S.A.C."/>
    <x v="0"/>
    <s v="S/"/>
    <n v="4276.45"/>
    <n v="0"/>
    <x v="1"/>
    <x v="6"/>
  </r>
  <r>
    <d v="2022-06-28T00:00:00"/>
    <d v="2022-08-27T00:00:00"/>
    <n v="110"/>
    <s v="01-FN01-00001129"/>
    <n v="20601830818"/>
    <s v="FUNDO VILLA ESMERALDA E.I.R.L."/>
    <x v="0"/>
    <s v="S/"/>
    <n v="1416"/>
    <n v="0"/>
    <x v="1"/>
    <x v="6"/>
  </r>
  <r>
    <d v="2022-06-28T00:00:00"/>
    <d v="2022-08-27T00:00:00"/>
    <n v="110"/>
    <s v="01-FN01-00001111"/>
    <n v="10308337931"/>
    <s v="PACO JARAMILLO PERSI"/>
    <x v="2"/>
    <s v="US$"/>
    <n v="0"/>
    <n v="821.28"/>
    <x v="1"/>
    <x v="6"/>
  </r>
  <r>
    <d v="2022-06-30T00:00:00"/>
    <d v="2022-08-29T00:00:00"/>
    <n v="108"/>
    <s v="01-FN01-00001153"/>
    <n v="20320731314"/>
    <s v="AGROPECUARIA DOÑA SILVIA S.R.L."/>
    <x v="1"/>
    <s v="US$"/>
    <n v="0"/>
    <n v="533.12"/>
    <x v="1"/>
    <x v="6"/>
  </r>
  <r>
    <d v="2022-06-30T00:00:00"/>
    <d v="2022-08-29T00:00:00"/>
    <n v="108"/>
    <s v="01-FN01-00001141"/>
    <n v="10308337931"/>
    <s v="PACO JARAMILLO PERSI"/>
    <x v="2"/>
    <s v="US$"/>
    <n v="0"/>
    <n v="3079.8"/>
    <x v="1"/>
    <x v="6"/>
  </r>
  <r>
    <d v="2022-08-02T00:00:00"/>
    <d v="2022-09-01T00:00:00"/>
    <n v="105"/>
    <s v="01-FN01-00001510"/>
    <n v="20608795988"/>
    <s v="INVERSIONES D´CAFIO S.A.C"/>
    <x v="3"/>
    <s v="S/"/>
    <n v="1032.3399999999999"/>
    <n v="0"/>
    <x v="1"/>
    <x v="7"/>
  </r>
  <r>
    <d v="2022-07-04T00:00:00"/>
    <d v="2022-09-02T00:00:00"/>
    <n v="104"/>
    <s v="01-FN01-00001198"/>
    <n v="20320731314"/>
    <s v="AGROPECUARIA DOÑA SILVIA S.R.L."/>
    <x v="1"/>
    <s v="US$"/>
    <n v="0"/>
    <n v="7533.12"/>
    <x v="1"/>
    <x v="7"/>
  </r>
  <r>
    <d v="2022-08-19T00:00:00"/>
    <d v="2022-09-03T00:00:00"/>
    <n v="103"/>
    <s v="01-FN01-00001715"/>
    <n v="20480214502"/>
    <s v="TRANSPORTES HERNANDEZ S.A.C."/>
    <x v="4"/>
    <s v="S/"/>
    <n v="1135.75"/>
    <n v="0"/>
    <x v="1"/>
    <x v="7"/>
  </r>
  <r>
    <d v="2022-08-19T00:00:00"/>
    <d v="2022-09-03T00:00:00"/>
    <n v="103"/>
    <s v="01-FN01-00001714"/>
    <n v="20480214502"/>
    <s v="TRANSPORTES HERNANDEZ S.A.C."/>
    <x v="4"/>
    <s v="US$"/>
    <n v="0"/>
    <n v="318.60000000000002"/>
    <x v="1"/>
    <x v="7"/>
  </r>
  <r>
    <d v="2022-07-06T00:00:00"/>
    <d v="2022-09-04T00:00:00"/>
    <n v="102"/>
    <s v="01-FN01-00001227"/>
    <n v="20320731314"/>
    <s v="AGROPECUARIA DOÑA SILVIA S.R.L."/>
    <x v="1"/>
    <s v="US$"/>
    <n v="0"/>
    <n v="914.74"/>
    <x v="1"/>
    <x v="7"/>
  </r>
  <r>
    <d v="2022-08-05T00:00:00"/>
    <d v="2022-09-04T00:00:00"/>
    <n v="102"/>
    <s v="03-BN01-00000121"/>
    <n v="45463765"/>
    <s v="ROJAS HUAYAPA RICKY EDISON"/>
    <x v="3"/>
    <s v="S/"/>
    <n v="4585.53"/>
    <n v="0"/>
    <x v="1"/>
    <x v="7"/>
  </r>
  <r>
    <d v="2022-08-05T00:00:00"/>
    <d v="2022-09-04T00:00:00"/>
    <n v="102"/>
    <s v="03-BN01-00000122"/>
    <n v="45463765"/>
    <s v="ROJAS HUAYAPA RICKY EDISON"/>
    <x v="3"/>
    <s v="S/"/>
    <n v="581.89"/>
    <n v="0"/>
    <x v="1"/>
    <x v="7"/>
  </r>
  <r>
    <d v="2022-07-07T00:00:00"/>
    <d v="2022-09-05T00:00:00"/>
    <n v="101"/>
    <s v="01-FN01-00001245"/>
    <n v="20320731314"/>
    <s v="AGROPECUARIA DOÑA SILVIA S.R.L."/>
    <x v="1"/>
    <s v="US$"/>
    <n v="0"/>
    <n v="8477.1200000000008"/>
    <x v="1"/>
    <x v="7"/>
  </r>
  <r>
    <d v="2022-09-09T00:00:00"/>
    <d v="2022-09-06T00:00:00"/>
    <n v="100"/>
    <s v="01-E001-00000529"/>
    <n v="10459604613"/>
    <s v="PALOMINO CHAMPI AMANDA NOEMI"/>
    <x v="3"/>
    <s v="US$"/>
    <n v="0"/>
    <n v="146.32"/>
    <x v="1"/>
    <x v="7"/>
  </r>
  <r>
    <d v="2022-08-10T00:00:00"/>
    <d v="2022-09-09T00:00:00"/>
    <n v="97"/>
    <s v="01-FN01-00001578"/>
    <n v="20494006678"/>
    <s v="AVICOLA CRESTA ROJA EIRL."/>
    <x v="2"/>
    <s v="S/"/>
    <n v="1843.53"/>
    <n v="0"/>
    <x v="1"/>
    <x v="7"/>
  </r>
  <r>
    <d v="2022-07-26T00:00:00"/>
    <d v="2022-09-09T00:00:00"/>
    <n v="97"/>
    <s v="01-FN01-00001449"/>
    <n v="20538241378"/>
    <s v="HUEVOS S.A.C."/>
    <x v="0"/>
    <s v="S/"/>
    <n v="6737.43"/>
    <n v="0"/>
    <x v="1"/>
    <x v="7"/>
  </r>
  <r>
    <d v="2022-09-09T00:00:00"/>
    <d v="2022-09-09T00:00:00"/>
    <n v="97"/>
    <s v="01-E001-00000528"/>
    <n v="10459604613"/>
    <s v="PALOMINO CHAMPI AMANDA NOEMI"/>
    <x v="3"/>
    <s v="S/"/>
    <n v="1026.25"/>
    <n v="0"/>
    <x v="1"/>
    <x v="7"/>
  </r>
  <r>
    <d v="2022-07-14T00:00:00"/>
    <d v="2022-09-12T00:00:00"/>
    <n v="94"/>
    <s v="01-FN01-00001323"/>
    <n v="20320731314"/>
    <s v="AGROPECUARIA DOÑA SILVIA S.R.L."/>
    <x v="1"/>
    <s v="US$"/>
    <n v="0"/>
    <n v="8146.72"/>
    <x v="1"/>
    <x v="7"/>
  </r>
  <r>
    <d v="2022-09-12T00:00:00"/>
    <d v="2022-09-12T00:00:00"/>
    <n v="94"/>
    <s v="03-BN01-00000137"/>
    <n v="44335078"/>
    <s v="TORREBLANCA CARREON,UBALDO ENRIQUE RODRIGO"/>
    <x v="3"/>
    <s v="S/"/>
    <n v="798.37"/>
    <n v="0"/>
    <x v="1"/>
    <x v="7"/>
  </r>
  <r>
    <d v="2022-09-13T00:00:00"/>
    <d v="2022-09-13T00:00:00"/>
    <n v="93"/>
    <s v="03-BN01-00000138"/>
    <n v="41412403"/>
    <s v="MANRIQUE SALDAÑA,HERBERT"/>
    <x v="0"/>
    <s v="S/"/>
    <n v="50"/>
    <n v="0"/>
    <x v="1"/>
    <x v="7"/>
  </r>
  <r>
    <d v="2022-08-01T00:00:00"/>
    <d v="2022-09-15T00:00:00"/>
    <n v="91"/>
    <s v="01-FN01-00001500"/>
    <n v="20538241378"/>
    <s v="HUEVOS S.A.C."/>
    <x v="0"/>
    <s v="S/"/>
    <n v="6242.2"/>
    <n v="0"/>
    <x v="1"/>
    <x v="7"/>
  </r>
  <r>
    <d v="2022-08-18T00:00:00"/>
    <d v="2022-09-17T00:00:00"/>
    <n v="89"/>
    <s v="01-FN01-00001691"/>
    <n v="20393226332"/>
    <s v="AVICOLA JAPI S.R.L."/>
    <x v="2"/>
    <s v="S/"/>
    <n v="8142"/>
    <n v="0"/>
    <x v="2"/>
    <x v="7"/>
  </r>
  <r>
    <d v="2022-08-18T00:00:00"/>
    <d v="2022-09-17T00:00:00"/>
    <n v="89"/>
    <s v="01-FN01-00001687"/>
    <n v="20393226332"/>
    <s v="AVICOLA JAPI S.R.L."/>
    <x v="2"/>
    <s v="S/"/>
    <n v="10709.44"/>
    <n v="0"/>
    <x v="2"/>
    <x v="7"/>
  </r>
  <r>
    <d v="2022-08-18T00:00:00"/>
    <d v="2022-09-17T00:00:00"/>
    <n v="89"/>
    <s v="01-FN01-00001689"/>
    <n v="20538241378"/>
    <s v="HUEVOS S.A.C."/>
    <x v="0"/>
    <s v="S/"/>
    <n v="5680.15"/>
    <n v="0"/>
    <x v="2"/>
    <x v="7"/>
  </r>
  <r>
    <d v="2022-07-22T00:00:00"/>
    <d v="2022-09-20T00:00:00"/>
    <n v="86"/>
    <s v="01-FN01-00001406"/>
    <n v="20320731314"/>
    <s v="AGROPECUARIA DOÑA SILVIA S.R.L."/>
    <x v="1"/>
    <s v="US$"/>
    <n v="0"/>
    <n v="8477.1200000000008"/>
    <x v="2"/>
    <x v="7"/>
  </r>
  <r>
    <d v="2022-08-22T00:00:00"/>
    <d v="2022-09-21T00:00:00"/>
    <n v="85"/>
    <s v="01-FN01-00001750"/>
    <n v="20608316788"/>
    <s v="INDUSTRIA ALIMENTARIA TITO S.A.C."/>
    <x v="3"/>
    <s v="S/"/>
    <n v="4739.3599999999997"/>
    <n v="0"/>
    <x v="2"/>
    <x v="7"/>
  </r>
  <r>
    <d v="2022-09-14T00:00:00"/>
    <d v="2022-09-21T00:00:00"/>
    <n v="85"/>
    <s v="01-FN01-00001955"/>
    <n v="20606113758"/>
    <s v="INVERSIONES PAMPA REAL S.A.C."/>
    <x v="0"/>
    <s v="US$"/>
    <n v="0"/>
    <n v="832.61"/>
    <x v="2"/>
    <x v="7"/>
  </r>
  <r>
    <d v="2022-09-21T00:00:00"/>
    <d v="2022-09-21T00:00:00"/>
    <n v="85"/>
    <s v="03-BN01-00000153"/>
    <n v="44335078"/>
    <s v="TORREBLANCA CARREON,UBALDO ENRIQUE RODRIGO"/>
    <x v="3"/>
    <s v="US$"/>
    <n v="0"/>
    <n v="442.5"/>
    <x v="2"/>
    <x v="7"/>
  </r>
  <r>
    <d v="2022-07-25T00:00:00"/>
    <d v="2022-09-23T00:00:00"/>
    <n v="83"/>
    <s v="01-FN01-00001431"/>
    <n v="20601830818"/>
    <s v="FUNDO VILLA ESMERALDA E.I.R.L."/>
    <x v="0"/>
    <s v="S/"/>
    <n v="3091.6"/>
    <n v="0"/>
    <x v="2"/>
    <x v="7"/>
  </r>
  <r>
    <d v="2022-07-25T00:00:00"/>
    <d v="2022-09-23T00:00:00"/>
    <n v="83"/>
    <s v="01-FN01-00001436"/>
    <n v="20601830818"/>
    <s v="FUNDO VILLA ESMERALDA E.I.R.L."/>
    <x v="0"/>
    <s v="S/"/>
    <n v="11815.69"/>
    <n v="0"/>
    <x v="2"/>
    <x v="7"/>
  </r>
  <r>
    <d v="2022-09-23T00:00:00"/>
    <d v="2022-09-23T00:00:00"/>
    <n v="83"/>
    <s v="01-FN01-00002056"/>
    <n v="10467717478"/>
    <s v="LLAMOCCA HUAMANI TITO"/>
    <x v="3"/>
    <s v="S/"/>
    <n v="4859.03"/>
    <n v="0"/>
    <x v="2"/>
    <x v="7"/>
  </r>
  <r>
    <d v="2022-07-26T00:00:00"/>
    <d v="2022-09-24T00:00:00"/>
    <n v="82"/>
    <s v="01-FN01-00001458"/>
    <n v="20320731314"/>
    <s v="AGROPECUARIA DOÑA SILVIA S.R.L."/>
    <x v="1"/>
    <s v="US$"/>
    <n v="0"/>
    <n v="8477.1200000000008"/>
    <x v="2"/>
    <x v="7"/>
  </r>
  <r>
    <d v="2022-07-26T00:00:00"/>
    <d v="2022-09-24T00:00:00"/>
    <n v="82"/>
    <s v="01-FN01-00001448"/>
    <n v="20601830818"/>
    <s v="FUNDO VILLA ESMERALDA E.I.R.L."/>
    <x v="0"/>
    <s v="S/"/>
    <n v="3243.23"/>
    <n v="0"/>
    <x v="2"/>
    <x v="7"/>
  </r>
  <r>
    <d v="2022-08-12T00:00:00"/>
    <d v="2022-09-26T00:00:00"/>
    <n v="80"/>
    <s v="01-FN01-00001612"/>
    <n v="20603042612"/>
    <s v="NUTRISERVICIOS PECUARIOS MATSANTI E.I.R.L."/>
    <x v="3"/>
    <s v="S/"/>
    <n v="684.4"/>
    <n v="0"/>
    <x v="2"/>
    <x v="7"/>
  </r>
  <r>
    <d v="2022-07-30T00:00:00"/>
    <d v="2022-09-28T00:00:00"/>
    <n v="78"/>
    <s v="01-FN01-00001482"/>
    <n v="20320731314"/>
    <s v="AGROPECUARIA DOÑA SILVIA S.R.L."/>
    <x v="1"/>
    <s v="US$"/>
    <n v="0"/>
    <n v="8477.1200000000008"/>
    <x v="2"/>
    <x v="7"/>
  </r>
  <r>
    <d v="2022-08-01T00:00:00"/>
    <d v="2022-09-30T00:00:00"/>
    <n v="76"/>
    <s v="01-FN01-00001485"/>
    <n v="20155261570"/>
    <s v="GRUPO SANTA ELENA S.A."/>
    <x v="0"/>
    <s v="S/"/>
    <n v="2463.84"/>
    <n v="0"/>
    <x v="2"/>
    <x v="7"/>
  </r>
  <r>
    <d v="2022-08-02T00:00:00"/>
    <d v="2022-10-01T00:00:00"/>
    <n v="75"/>
    <s v="01-FN01-00001509"/>
    <n v="20155261570"/>
    <s v="GRUPO SANTA ELENA S.A."/>
    <x v="0"/>
    <s v="S/"/>
    <n v="2542.31"/>
    <n v="0"/>
    <x v="2"/>
    <x v="0"/>
  </r>
  <r>
    <d v="2022-09-01T00:00:00"/>
    <d v="2022-10-01T00:00:00"/>
    <n v="75"/>
    <s v="01-FN01-00001871"/>
    <n v="20455732574"/>
    <s v="INTEGRACION MONZON E.I.R.L."/>
    <x v="3"/>
    <s v="S/"/>
    <n v="2122.08"/>
    <n v="0"/>
    <x v="2"/>
    <x v="0"/>
  </r>
  <r>
    <d v="2022-09-02T00:00:00"/>
    <d v="2022-10-02T00:00:00"/>
    <n v="74"/>
    <s v="01-FN01-00001879"/>
    <n v="20494979978"/>
    <s v="AVES DE LAS AMERICAS EIRL"/>
    <x v="0"/>
    <s v="S/"/>
    <n v="1151.49"/>
    <n v="0"/>
    <x v="2"/>
    <x v="0"/>
  </r>
  <r>
    <d v="2022-08-19T00:00:00"/>
    <d v="2022-10-03T00:00:00"/>
    <n v="73"/>
    <s v="01-FN01-00001720"/>
    <n v="20538241378"/>
    <s v="HUEVOS S.A.C."/>
    <x v="0"/>
    <s v="S/"/>
    <n v="703.42"/>
    <n v="0"/>
    <x v="2"/>
    <x v="0"/>
  </r>
  <r>
    <d v="2022-08-19T00:00:00"/>
    <d v="2022-10-03T00:00:00"/>
    <n v="73"/>
    <s v="01-FN01-00001707"/>
    <n v="20538241378"/>
    <s v="HUEVOS S.A.C."/>
    <x v="0"/>
    <s v="S/"/>
    <n v="4826.72"/>
    <n v="0"/>
    <x v="2"/>
    <x v="0"/>
  </r>
  <r>
    <d v="2022-08-05T00:00:00"/>
    <d v="2022-10-04T00:00:00"/>
    <n v="72"/>
    <s v="01-FN01-00001535"/>
    <n v="20320731314"/>
    <s v="AGROPECUARIA DOÑA SILVIA S.R.L."/>
    <x v="1"/>
    <s v="US$"/>
    <n v="0"/>
    <n v="8477.1200000000008"/>
    <x v="2"/>
    <x v="0"/>
  </r>
  <r>
    <d v="2022-09-12T00:00:00"/>
    <d v="2022-10-06T00:00:00"/>
    <n v="70"/>
    <s v="01-E001-00000541"/>
    <n v="20602148948"/>
    <s v="AVIPECUARIA VAJU E.I.R.L."/>
    <x v="0"/>
    <s v="US$"/>
    <n v="0"/>
    <n v="1180"/>
    <x v="2"/>
    <x v="0"/>
  </r>
  <r>
    <d v="2022-09-09T00:00:00"/>
    <d v="2022-10-06T00:00:00"/>
    <n v="70"/>
    <s v="01-E001-00000523"/>
    <n v="20509902730"/>
    <s v="INVERSIONES AGROPECUARIAS HC SAC"/>
    <x v="1"/>
    <s v="US$"/>
    <n v="0"/>
    <n v="323.02999999999997"/>
    <x v="2"/>
    <x v="0"/>
  </r>
  <r>
    <d v="2022-09-12T00:00:00"/>
    <d v="2022-10-07T00:00:00"/>
    <n v="69"/>
    <s v="01-E001-00000558"/>
    <n v="20494006678"/>
    <s v="AVICOLA CRESTA ROJA EIRL."/>
    <x v="2"/>
    <s v="S/"/>
    <n v="2122.08"/>
    <n v="0"/>
    <x v="2"/>
    <x v="0"/>
  </r>
  <r>
    <d v="2022-08-09T00:00:00"/>
    <d v="2022-10-08T00:00:00"/>
    <n v="68"/>
    <s v="01-FN01-00001564"/>
    <n v="20555507861"/>
    <s v="BIOETIS S.A.C."/>
    <x v="4"/>
    <s v="US$"/>
    <n v="0"/>
    <n v="52554.61"/>
    <x v="2"/>
    <x v="0"/>
  </r>
  <r>
    <d v="2022-09-08T00:00:00"/>
    <d v="2022-10-08T00:00:00"/>
    <n v="68"/>
    <s v="01-FN01-00001902"/>
    <n v="20606753820"/>
    <s v="INCUBADORA SANTA SOFIA S.A.C."/>
    <x v="3"/>
    <s v="S/"/>
    <n v="2716.64"/>
    <n v="0"/>
    <x v="2"/>
    <x v="0"/>
  </r>
  <r>
    <d v="2022-08-10T00:00:00"/>
    <d v="2022-10-09T00:00:00"/>
    <n v="67"/>
    <s v="01-FN01-00001580"/>
    <n v="20320731314"/>
    <s v="AGROPECUARIA DOÑA SILVIA S.R.L."/>
    <x v="1"/>
    <s v="US$"/>
    <n v="0"/>
    <n v="1937.09"/>
    <x v="2"/>
    <x v="0"/>
  </r>
  <r>
    <d v="2022-08-10T00:00:00"/>
    <d v="2022-10-09T00:00:00"/>
    <n v="67"/>
    <s v="01-FN01-00001588"/>
    <n v="20320731314"/>
    <s v="AGROPECUARIA DOÑA SILVIA S.R.L."/>
    <x v="1"/>
    <s v="US$"/>
    <n v="0"/>
    <n v="3602.78"/>
    <x v="2"/>
    <x v="0"/>
  </r>
  <r>
    <d v="2022-08-12T00:00:00"/>
    <d v="2022-10-11T00:00:00"/>
    <n v="65"/>
    <s v="01-FN01-00001608"/>
    <n v="20320731314"/>
    <s v="AGROPECUARIA DOÑA SILVIA S.R.L."/>
    <x v="1"/>
    <m/>
    <n v="3072.72"/>
    <n v="0"/>
    <x v="2"/>
    <x v="0"/>
  </r>
  <r>
    <d v="2022-08-12T00:00:00"/>
    <d v="2022-10-11T00:00:00"/>
    <n v="65"/>
    <s v="01-FN01-00001620"/>
    <n v="20601830818"/>
    <s v="FUNDO VILLA ESMERALDA E.I.R.L."/>
    <x v="0"/>
    <s v="S/"/>
    <n v="5605"/>
    <n v="0"/>
    <x v="2"/>
    <x v="0"/>
  </r>
  <r>
    <d v="2022-10-11T00:00:00"/>
    <d v="2022-10-11T00:00:00"/>
    <n v="65"/>
    <s v="01-FN01-00002263"/>
    <n v="20606113758"/>
    <s v="INVERSIONES PAMPA REAL S.A.C."/>
    <x v="0"/>
    <s v="US$"/>
    <n v="0"/>
    <n v="892.08"/>
    <x v="2"/>
    <x v="0"/>
  </r>
  <r>
    <d v="2022-09-12T00:00:00"/>
    <d v="2022-10-12T00:00:00"/>
    <n v="64"/>
    <s v="01-FN01-00001915"/>
    <n v="20559102271"/>
    <s v="RECRIAS AMERICA S.A.C."/>
    <x v="3"/>
    <s v="US$"/>
    <n v="0"/>
    <n v="258.66000000000003"/>
    <x v="2"/>
    <x v="0"/>
  </r>
  <r>
    <d v="2022-09-12T00:00:00"/>
    <d v="2022-10-12T00:00:00"/>
    <n v="64"/>
    <s v="01-FN01-00001916"/>
    <n v="10444550410"/>
    <s v="ZEA ABARCA ZAMANTHA"/>
    <x v="3"/>
    <s v="US$"/>
    <n v="0"/>
    <n v="179.36"/>
    <x v="2"/>
    <x v="0"/>
  </r>
  <r>
    <d v="2022-09-13T00:00:00"/>
    <d v="2022-10-13T00:00:00"/>
    <n v="63"/>
    <s v="01-FN01-00001936"/>
    <n v="10452534288"/>
    <s v="PEREZ TTITO WILFREDO"/>
    <x v="3"/>
    <s v="US$"/>
    <n v="0"/>
    <n v="103.25"/>
    <x v="2"/>
    <x v="0"/>
  </r>
  <r>
    <d v="2022-08-15T00:00:00"/>
    <d v="2022-10-14T00:00:00"/>
    <n v="62"/>
    <s v="01-FN01-00001642"/>
    <n v="20320731314"/>
    <s v="AGROPECUARIA DOÑA SILVIA S.R.L."/>
    <x v="1"/>
    <s v="US$"/>
    <n v="0"/>
    <n v="7692.99"/>
    <x v="2"/>
    <x v="0"/>
  </r>
  <r>
    <d v="2022-08-15T00:00:00"/>
    <d v="2022-10-14T00:00:00"/>
    <n v="62"/>
    <s v="01-FN05-00000032"/>
    <n v="1"/>
    <s v="ELANCO COLOMBIA SAS"/>
    <x v="4"/>
    <s v="US$"/>
    <n v="0"/>
    <n v="2338.7600000000002"/>
    <x v="2"/>
    <x v="0"/>
  </r>
  <r>
    <d v="2022-08-15T00:00:00"/>
    <d v="2022-10-14T00:00:00"/>
    <n v="62"/>
    <s v="01-FN01-00001635"/>
    <n v="20601830818"/>
    <s v="FUNDO VILLA ESMERALDA E.I.R.L."/>
    <x v="0"/>
    <s v="S/"/>
    <n v="11721"/>
    <n v="0"/>
    <x v="2"/>
    <x v="0"/>
  </r>
  <r>
    <d v="2022-08-16T00:00:00"/>
    <d v="2022-10-15T00:00:00"/>
    <n v="61"/>
    <s v="01-FN01-00001660"/>
    <n v="20555507861"/>
    <s v="BIOETIS S.A.C."/>
    <x v="4"/>
    <s v="US$"/>
    <n v="0"/>
    <n v="49277.27"/>
    <x v="2"/>
    <x v="0"/>
  </r>
  <r>
    <d v="2022-08-17T00:00:00"/>
    <d v="2022-10-16T00:00:00"/>
    <n v="60"/>
    <s v="01-FN01-00001667"/>
    <n v="20320731314"/>
    <s v="AGROPECUARIA DOÑA SILVIA S.R.L."/>
    <x v="1"/>
    <s v="US$"/>
    <n v="0"/>
    <n v="8477.1200000000008"/>
    <x v="3"/>
    <x v="0"/>
  </r>
  <r>
    <d v="2022-09-16T00:00:00"/>
    <d v="2022-10-16T00:00:00"/>
    <n v="60"/>
    <s v="01-FN01-00001990"/>
    <n v="20104508023"/>
    <s v="AGROPECUARIA RIO BRAVO HNOS S.A.C."/>
    <x v="0"/>
    <s v="S/"/>
    <n v="616"/>
    <n v="0"/>
    <x v="3"/>
    <x v="0"/>
  </r>
  <r>
    <d v="2022-08-18T00:00:00"/>
    <d v="2022-10-17T00:00:00"/>
    <n v="59"/>
    <s v="01-FN01-00001688"/>
    <n v="20601830818"/>
    <s v="FUNDO VILLA ESMERALDA E.I.R.L."/>
    <x v="0"/>
    <s v="S/"/>
    <n v="94.7"/>
    <n v="0"/>
    <x v="3"/>
    <x v="0"/>
  </r>
  <r>
    <d v="2022-08-19T00:00:00"/>
    <d v="2022-10-18T00:00:00"/>
    <n v="58"/>
    <s v="01-FN01-00001716"/>
    <n v="20320731314"/>
    <s v="AGROPECUARIA DOÑA SILVIA S.R.L."/>
    <x v="1"/>
    <s v="US$"/>
    <n v="0"/>
    <n v="8477.1200000000008"/>
    <x v="3"/>
    <x v="0"/>
  </r>
  <r>
    <d v="2022-10-19T00:00:00"/>
    <d v="2022-10-19T00:00:00"/>
    <n v="57"/>
    <s v="01-E001-00000642"/>
    <n v="20600778561"/>
    <s v="CORPORACION OROPEZA E.I.R.L."/>
    <x v="0"/>
    <s v="S/"/>
    <n v="1375.38"/>
    <n v="0"/>
    <x v="3"/>
    <x v="0"/>
  </r>
  <r>
    <d v="2022-09-20T00:00:00"/>
    <d v="2022-10-20T00:00:00"/>
    <n v="56"/>
    <s v="01-FN01-00002012"/>
    <n v="20566031583"/>
    <s v="INVERSIONES &amp; REPRESENTACIONES GASUR E.I.R.L."/>
    <x v="0"/>
    <s v="US$"/>
    <n v="0"/>
    <n v="1625.45"/>
    <x v="3"/>
    <x v="0"/>
  </r>
  <r>
    <d v="2022-08-23T00:00:00"/>
    <d v="2022-10-22T00:00:00"/>
    <n v="54"/>
    <s v="01-FN01-00001764"/>
    <n v="20320731314"/>
    <s v="AGROPECUARIA DOÑA SILVIA S.R.L."/>
    <x v="1"/>
    <s v="US$"/>
    <n v="0"/>
    <n v="8477.1200000000008"/>
    <x v="3"/>
    <x v="0"/>
  </r>
  <r>
    <d v="2022-09-22T00:00:00"/>
    <d v="2022-10-22T00:00:00"/>
    <n v="54"/>
    <s v="01-FN01-00002045"/>
    <n v="20601173469"/>
    <s v="S &amp; J INVERSIONES THALCAR S.A.C."/>
    <x v="3"/>
    <s v="US$"/>
    <n v="0"/>
    <n v="55.46"/>
    <x v="3"/>
    <x v="0"/>
  </r>
  <r>
    <d v="2022-06-25T00:00:00"/>
    <d v="2022-10-23T00:00:00"/>
    <n v="53"/>
    <s v="01-FN01-00001069"/>
    <n v="20100154308"/>
    <s v="SAN FERNANDO S.A."/>
    <x v="1"/>
    <s v="S/"/>
    <n v="289.10000000000002"/>
    <n v="0"/>
    <x v="3"/>
    <x v="0"/>
  </r>
  <r>
    <d v="2022-09-23T00:00:00"/>
    <d v="2022-10-23T00:00:00"/>
    <n v="53"/>
    <s v="01-FN01-00002060"/>
    <n v="10444550410"/>
    <s v="ZEA ABARCA ZAMANTHA"/>
    <x v="3"/>
    <s v="US$"/>
    <n v="0"/>
    <n v="424.8"/>
    <x v="3"/>
    <x v="0"/>
  </r>
  <r>
    <d v="2022-09-09T00:00:00"/>
    <d v="2022-10-24T00:00:00"/>
    <n v="52"/>
    <s v="01-FN01-00001907"/>
    <n v="20600678397"/>
    <s v="AVICOLA DON QUIJOTE EIRL"/>
    <x v="3"/>
    <s v="S/"/>
    <n v="427.99"/>
    <n v="0"/>
    <x v="3"/>
    <x v="0"/>
  </r>
  <r>
    <d v="2022-10-24T00:00:00"/>
    <d v="2022-10-24T00:00:00"/>
    <n v="52"/>
    <s v="01-FN01-00002358"/>
    <n v="20467089464"/>
    <s v="FUMINSUMOS S.R.L."/>
    <x v="4"/>
    <s v="US$"/>
    <n v="0"/>
    <n v="1463.63"/>
    <x v="3"/>
    <x v="0"/>
  </r>
  <r>
    <d v="2022-08-26T00:00:00"/>
    <d v="2022-10-25T00:00:00"/>
    <n v="51"/>
    <s v="01-FN01-00001813"/>
    <n v="20132373958"/>
    <s v="CHIMU AGROPECUARIA S.A."/>
    <x v="5"/>
    <s v="US$"/>
    <n v="0"/>
    <n v="33099"/>
    <x v="3"/>
    <x v="0"/>
  </r>
  <r>
    <d v="2022-08-26T00:00:00"/>
    <d v="2022-10-25T00:00:00"/>
    <n v="51"/>
    <s v="01-FN01-00001799"/>
    <n v="20601830818"/>
    <s v="FUNDO VILLA ESMERALDA E.I.R.L."/>
    <x v="0"/>
    <s v="S/"/>
    <n v="11799.76"/>
    <n v="0"/>
    <x v="3"/>
    <x v="0"/>
  </r>
  <r>
    <d v="2022-10-25T00:00:00"/>
    <d v="2022-10-25T00:00:00"/>
    <n v="51"/>
    <s v="03-BN01-00000178"/>
    <n v="43495799"/>
    <s v="GARCIA CALDERON ,MILWAR NOEL"/>
    <x v="3"/>
    <s v="US$"/>
    <n v="0"/>
    <n v="268.45"/>
    <x v="3"/>
    <x v="0"/>
  </r>
  <r>
    <d v="2022-10-25T00:00:00"/>
    <d v="2022-10-25T00:00:00"/>
    <n v="51"/>
    <s v="03-BN01-00000179"/>
    <n v="43495799"/>
    <s v="GARCIA CALDERON ,MILWAR NOEL"/>
    <x v="3"/>
    <s v="S/"/>
    <n v="778.8"/>
    <n v="0"/>
    <x v="3"/>
    <x v="0"/>
  </r>
  <r>
    <d v="2022-10-20T00:00:00"/>
    <d v="2022-10-25T00:00:00"/>
    <n v="51"/>
    <s v="01-FN01-00002329"/>
    <n v="20606113758"/>
    <s v="INVERSIONES PAMPA REAL S.A.C."/>
    <x v="0"/>
    <s v="US$"/>
    <n v="0"/>
    <n v="832.61"/>
    <x v="3"/>
    <x v="0"/>
  </r>
  <r>
    <d v="2022-10-25T00:00:00"/>
    <d v="2022-10-25T00:00:00"/>
    <n v="51"/>
    <s v="01-FN01-00002392"/>
    <n v="20481231559"/>
    <s v="LACTEA S.A"/>
    <x v="5"/>
    <s v="US$"/>
    <n v="0"/>
    <n v="57.11"/>
    <x v="3"/>
    <x v="0"/>
  </r>
  <r>
    <d v="2022-06-27T00:00:00"/>
    <d v="2022-10-25T00:00:00"/>
    <n v="51"/>
    <s v="01-FN01-00001103"/>
    <n v="20100154308"/>
    <s v="SAN FERNANDO S.A."/>
    <x v="1"/>
    <s v="S/"/>
    <n v="15859.2"/>
    <n v="0"/>
    <x v="3"/>
    <x v="0"/>
  </r>
  <r>
    <d v="2022-10-26T00:00:00"/>
    <d v="2022-10-26T00:00:00"/>
    <n v="50"/>
    <s v="01-FN01-00002416"/>
    <n v="20606113758"/>
    <s v="INVERSIONES PAMPA REAL S.A.C."/>
    <x v="0"/>
    <s v="US$"/>
    <n v="0"/>
    <n v="832.61"/>
    <x v="3"/>
    <x v="0"/>
  </r>
  <r>
    <d v="2022-06-28T00:00:00"/>
    <d v="2022-10-26T00:00:00"/>
    <n v="50"/>
    <s v="01-FN01-00001109"/>
    <n v="20100154308"/>
    <s v="SAN FERNANDO S.A."/>
    <x v="1"/>
    <s v="S/"/>
    <n v="20.65"/>
    <n v="0"/>
    <x v="3"/>
    <x v="0"/>
  </r>
  <r>
    <d v="2022-10-27T00:00:00"/>
    <d v="2022-10-27T00:00:00"/>
    <n v="49"/>
    <s v="01-FN01-00002454"/>
    <n v="20538241378"/>
    <s v="HUEVOS S.A.C."/>
    <x v="0"/>
    <s v="S/"/>
    <n v="10506.87"/>
    <n v="0"/>
    <x v="3"/>
    <x v="0"/>
  </r>
  <r>
    <d v="2022-10-27T00:00:00"/>
    <d v="2022-10-27T00:00:00"/>
    <n v="49"/>
    <s v="01-FN01-00002455"/>
    <n v="20538241378"/>
    <s v="HUEVOS S.A.C."/>
    <x v="0"/>
    <s v="S/"/>
    <n v="2714"/>
    <n v="0"/>
    <x v="3"/>
    <x v="0"/>
  </r>
  <r>
    <d v="2022-09-27T00:00:00"/>
    <d v="2022-10-27T00:00:00"/>
    <n v="49"/>
    <s v="01-FN01-00002093"/>
    <n v="20606113758"/>
    <s v="INVERSIONES PAMPA REAL S.A.C."/>
    <x v="0"/>
    <s v="S/"/>
    <n v="5663.68"/>
    <n v="0"/>
    <x v="3"/>
    <x v="0"/>
  </r>
  <r>
    <d v="2022-08-29T00:00:00"/>
    <d v="2022-10-28T00:00:00"/>
    <n v="48"/>
    <s v="01-FN01-00001825"/>
    <n v="20320731314"/>
    <s v="AGROPECUARIA DOÑA SILVIA S.R.L."/>
    <x v="1"/>
    <s v="US$"/>
    <n v="0"/>
    <n v="8477.1200000000008"/>
    <x v="3"/>
    <x v="0"/>
  </r>
  <r>
    <d v="2022-09-28T00:00:00"/>
    <d v="2022-10-28T00:00:00"/>
    <n v="48"/>
    <s v="01-FN01-00002120"/>
    <n v="20606753820"/>
    <s v="INCUBADORA SANTA SOFIA S.A.C."/>
    <x v="3"/>
    <s v="S/"/>
    <n v="5772.08"/>
    <n v="0"/>
    <x v="3"/>
    <x v="0"/>
  </r>
  <r>
    <d v="2022-08-30T00:00:00"/>
    <d v="2022-10-29T00:00:00"/>
    <n v="47"/>
    <s v="01-FN01-00001846"/>
    <n v="20132373958"/>
    <s v="CHIMU AGROPECUARIA S.A."/>
    <x v="5"/>
    <s v="S/"/>
    <n v="9450.33"/>
    <n v="0"/>
    <x v="3"/>
    <x v="0"/>
  </r>
  <r>
    <d v="2022-08-30T00:00:00"/>
    <d v="2022-10-29T00:00:00"/>
    <n v="47"/>
    <s v="01-FN01-00001847"/>
    <n v="20132373958"/>
    <s v="CHIMU AGROPECUARIA S.A."/>
    <x v="5"/>
    <s v="S/"/>
    <n v="3955.95"/>
    <n v="0"/>
    <x v="3"/>
    <x v="0"/>
  </r>
  <r>
    <d v="2022-08-30T00:00:00"/>
    <d v="2022-10-29T00:00:00"/>
    <n v="47"/>
    <s v="01-FN01-00001849"/>
    <n v="20601830818"/>
    <s v="FUNDO VILLA ESMERALDA E.I.R.L."/>
    <x v="0"/>
    <s v="S/"/>
    <n v="2053.1999999999998"/>
    <n v="0"/>
    <x v="3"/>
    <x v="0"/>
  </r>
  <r>
    <d v="2022-09-30T00:00:00"/>
    <d v="2022-10-30T00:00:00"/>
    <n v="46"/>
    <s v="01-FN01-00002154"/>
    <n v="20601764084"/>
    <s v="DISTRIBUIDORA RUSBELIA E.I.R.L."/>
    <x v="3"/>
    <s v="US$"/>
    <n v="0"/>
    <n v="177"/>
    <x v="3"/>
    <x v="0"/>
  </r>
  <r>
    <d v="2022-09-30T00:00:00"/>
    <d v="2022-10-30T00:00:00"/>
    <n v="46"/>
    <s v="01-FN01-00002153"/>
    <n v="20601764084"/>
    <s v="DISTRIBUIDORA RUSBELIA E.I.R.L."/>
    <x v="3"/>
    <m/>
    <n v="1298"/>
    <n v="0"/>
    <x v="3"/>
    <x v="0"/>
  </r>
  <r>
    <d v="2022-09-30T00:00:00"/>
    <d v="2022-10-30T00:00:00"/>
    <n v="46"/>
    <s v="01-FN01-00002158"/>
    <n v="20606113758"/>
    <s v="INVERSIONES PAMPA REAL S.A.C."/>
    <x v="0"/>
    <s v="S/"/>
    <n v="1130.1600000000001"/>
    <n v="0"/>
    <x v="3"/>
    <x v="0"/>
  </r>
  <r>
    <d v="2022-09-30T00:00:00"/>
    <d v="2022-10-30T00:00:00"/>
    <n v="46"/>
    <s v="01-FN01-00002149"/>
    <n v="20600365461"/>
    <s v="NOVAT QUIMICA S.A.C."/>
    <x v="3"/>
    <s v="US$"/>
    <n v="0"/>
    <n v="146.32"/>
    <x v="3"/>
    <x v="0"/>
  </r>
  <r>
    <d v="2022-09-30T00:00:00"/>
    <d v="2022-10-30T00:00:00"/>
    <n v="46"/>
    <s v="01-FN01-00002165"/>
    <n v="10452534288"/>
    <s v="PEREZ TTITO WILFREDO"/>
    <x v="3"/>
    <s v="US$"/>
    <n v="0"/>
    <n v="309.75"/>
    <x v="3"/>
    <x v="0"/>
  </r>
  <r>
    <d v="2022-09-30T00:00:00"/>
    <d v="2022-10-30T00:00:00"/>
    <n v="46"/>
    <s v="01-FN01-00002151"/>
    <n v="10452534288"/>
    <s v="PEREZ TTITO WILFREDO"/>
    <x v="3"/>
    <s v="US$"/>
    <n v="0"/>
    <n v="1144.5999999999999"/>
    <x v="3"/>
    <x v="0"/>
  </r>
  <r>
    <d v="2022-09-30T00:00:00"/>
    <d v="2022-10-30T00:00:00"/>
    <n v="46"/>
    <s v="01-FN01-00002152"/>
    <n v="10452534288"/>
    <s v="PEREZ TTITO WILFREDO"/>
    <x v="3"/>
    <s v="S/"/>
    <n v="3894"/>
    <n v="0"/>
    <x v="3"/>
    <x v="0"/>
  </r>
  <r>
    <d v="2022-09-02T00:00:00"/>
    <d v="2022-11-01T00:00:00"/>
    <n v="44"/>
    <s v="01-FN01-00001886"/>
    <n v="20320731314"/>
    <s v="AGROPECUARIA DOÑA SILVIA S.R.L."/>
    <x v="1"/>
    <s v="US$"/>
    <n v="0"/>
    <n v="8477.1200000000008"/>
    <x v="3"/>
    <x v="11"/>
  </r>
  <r>
    <d v="2022-09-02T00:00:00"/>
    <d v="2022-11-01T00:00:00"/>
    <n v="44"/>
    <s v="01-FN01-00001889"/>
    <n v="20132373958"/>
    <s v="CHIMU AGROPECUARIA S.A."/>
    <x v="5"/>
    <s v="S/"/>
    <n v="5992.87"/>
    <n v="0"/>
    <x v="3"/>
    <x v="11"/>
  </r>
  <r>
    <d v="2022-09-02T00:00:00"/>
    <d v="2022-11-01T00:00:00"/>
    <n v="44"/>
    <s v="01-FN01-00001875"/>
    <n v="20601830818"/>
    <s v="FUNDO VILLA ESMERALDA E.I.R.L."/>
    <x v="0"/>
    <s v="S/"/>
    <n v="5605"/>
    <n v="0"/>
    <x v="3"/>
    <x v="11"/>
  </r>
  <r>
    <d v="2022-09-02T00:00:00"/>
    <d v="2022-11-01T00:00:00"/>
    <n v="44"/>
    <s v="01-FN01-00001873"/>
    <n v="20601830818"/>
    <s v="FUNDO VILLA ESMERALDA E.I.R.L."/>
    <x v="0"/>
    <s v="US$"/>
    <n v="0"/>
    <n v="1224.8399999999999"/>
    <x v="3"/>
    <x v="11"/>
  </r>
  <r>
    <d v="2022-09-02T00:00:00"/>
    <d v="2022-11-01T00:00:00"/>
    <n v="44"/>
    <s v="01-FN01-00001883"/>
    <n v="20155261570"/>
    <s v="GRUPO SANTA ELENA S.A."/>
    <x v="0"/>
    <s v="S/"/>
    <n v="3285.12"/>
    <n v="0"/>
    <x v="3"/>
    <x v="11"/>
  </r>
  <r>
    <d v="2022-09-02T00:00:00"/>
    <d v="2022-11-01T00:00:00"/>
    <n v="44"/>
    <s v="01-FN01-00001880"/>
    <n v="20155261570"/>
    <s v="GRUPO SANTA ELENA S.A."/>
    <x v="0"/>
    <s v="S/"/>
    <n v="15682.2"/>
    <n v="0"/>
    <x v="3"/>
    <x v="11"/>
  </r>
  <r>
    <d v="2022-10-03T00:00:00"/>
    <d v="2022-11-02T00:00:00"/>
    <n v="43"/>
    <s v="01-FN01-00002184"/>
    <n v="20108917521"/>
    <s v="AGRO INDUSTRIA AUCALLAMA S.R.L."/>
    <x v="1"/>
    <s v="US$"/>
    <n v="0"/>
    <n v="541.76"/>
    <x v="3"/>
    <x v="11"/>
  </r>
  <r>
    <d v="2022-11-02T00:00:00"/>
    <d v="2022-11-02T00:00:00"/>
    <n v="43"/>
    <s v="01-FN01-00002502"/>
    <n v="20518075617"/>
    <s v="EPOXY PERU S.A.C."/>
    <x v="4"/>
    <s v="S/"/>
    <n v="113.28"/>
    <n v="0"/>
    <x v="3"/>
    <x v="11"/>
  </r>
  <r>
    <d v="2022-10-03T00:00:00"/>
    <d v="2022-11-02T00:00:00"/>
    <n v="43"/>
    <s v="01-FN01-00002178"/>
    <n v="20482469079"/>
    <s v="GRANJA AVICOLA LA YEMA S.A.C."/>
    <x v="5"/>
    <s v="US$"/>
    <n v="0"/>
    <n v="169.92"/>
    <x v="3"/>
    <x v="11"/>
  </r>
  <r>
    <d v="2022-10-03T00:00:00"/>
    <d v="2022-11-02T00:00:00"/>
    <n v="43"/>
    <s v="01-FN01-00002176"/>
    <n v="20455732574"/>
    <s v="INTEGRACION MONZON E.I.R.L."/>
    <x v="3"/>
    <s v="S/"/>
    <n v="2425.23"/>
    <n v="0"/>
    <x v="3"/>
    <x v="11"/>
  </r>
  <r>
    <d v="2022-10-03T00:00:00"/>
    <d v="2022-11-02T00:00:00"/>
    <n v="43"/>
    <s v="01-FN01-00002181"/>
    <n v="10429225413"/>
    <s v="MASHCO HUERTA JUAN CARLOS"/>
    <x v="1"/>
    <s v="US$"/>
    <n v="0"/>
    <n v="493.15"/>
    <x v="3"/>
    <x v="11"/>
  </r>
  <r>
    <d v="2022-10-04T00:00:00"/>
    <d v="2022-11-03T00:00:00"/>
    <n v="42"/>
    <s v="01-FN01-00002219"/>
    <n v="20601908701"/>
    <s v="AVIPECUARIA LANFER E.I.R.L."/>
    <x v="0"/>
    <s v="S/"/>
    <n v="2438.46"/>
    <n v="0"/>
    <x v="3"/>
    <x v="11"/>
  </r>
  <r>
    <d v="2022-11-03T00:00:00"/>
    <d v="2022-11-03T00:00:00"/>
    <n v="42"/>
    <s v="01-FN01-00002511"/>
    <n v="20606113758"/>
    <s v="INVERSIONES PAMPA REAL S.A.C."/>
    <x v="0"/>
    <s v="S/"/>
    <n v="3481.09"/>
    <n v="0"/>
    <x v="3"/>
    <x v="11"/>
  </r>
  <r>
    <d v="2022-11-04T00:00:00"/>
    <d v="2022-11-04T00:00:00"/>
    <n v="41"/>
    <s v="01-FN01-00002534"/>
    <n v="20481887705"/>
    <s v="ALMACENES AVICOLAS VETERINARIAS EIRL"/>
    <x v="5"/>
    <s v="US$"/>
    <n v="0"/>
    <n v="401.2"/>
    <x v="3"/>
    <x v="11"/>
  </r>
  <r>
    <d v="2022-09-13T00:00:00"/>
    <d v="2022-11-04T00:00:00"/>
    <n v="41"/>
    <s v="01-E001-00000512"/>
    <n v="20155261570"/>
    <s v="GRUPO SANTA ELENA S.A."/>
    <x v="0"/>
    <s v="S/"/>
    <n v="1640.2"/>
    <n v="0"/>
    <x v="3"/>
    <x v="11"/>
  </r>
  <r>
    <d v="2022-10-06T00:00:00"/>
    <d v="2022-11-05T00:00:00"/>
    <n v="40"/>
    <s v="01-FN01-00002247"/>
    <n v="20606113758"/>
    <s v="INVERSIONES PAMPA REAL S.A.C."/>
    <x v="0"/>
    <s v="S/"/>
    <n v="239.78"/>
    <n v="0"/>
    <x v="3"/>
    <x v="11"/>
  </r>
  <r>
    <d v="2022-09-22T00:00:00"/>
    <d v="2022-11-06T00:00:00"/>
    <n v="39"/>
    <s v="01-FN01-00002038"/>
    <n v="20542356317"/>
    <s v="AGROINVERSIONES MARIO S.A.C."/>
    <x v="2"/>
    <s v="S/"/>
    <n v="9086"/>
    <n v="0"/>
    <x v="3"/>
    <x v="11"/>
  </r>
  <r>
    <d v="2022-09-12T00:00:00"/>
    <d v="2022-11-06T00:00:00"/>
    <n v="39"/>
    <s v="01-E001-00000571"/>
    <n v="20494022797"/>
    <s v="DEMETRIOS CHICKEN S.A.C"/>
    <x v="2"/>
    <s v="S/"/>
    <n v="28557.09"/>
    <n v="0"/>
    <x v="3"/>
    <x v="11"/>
  </r>
  <r>
    <d v="2022-09-08T00:00:00"/>
    <d v="2022-11-07T00:00:00"/>
    <n v="38"/>
    <s v="01-FN01-00001896"/>
    <n v="20601830818"/>
    <s v="FUNDO VILLA ESMERALDA E.I.R.L."/>
    <x v="0"/>
    <s v="S/"/>
    <n v="5793.8"/>
    <n v="0"/>
    <x v="3"/>
    <x v="11"/>
  </r>
  <r>
    <d v="2022-09-08T00:00:00"/>
    <d v="2022-11-07T00:00:00"/>
    <n v="38"/>
    <s v="01-FN01-00001894"/>
    <n v="20601830818"/>
    <s v="FUNDO VILLA ESMERALDA E.I.R.L."/>
    <x v="0"/>
    <s v="S/"/>
    <n v="8161.59"/>
    <n v="0"/>
    <x v="3"/>
    <x v="11"/>
  </r>
  <r>
    <d v="2022-11-07T00:00:00"/>
    <d v="2022-11-07T00:00:00"/>
    <n v="38"/>
    <s v="01-FN01-00002573"/>
    <n v="20538241378"/>
    <s v="HUEVOS S.A.C."/>
    <x v="0"/>
    <s v="S/"/>
    <n v="2185.9499999999998"/>
    <n v="0"/>
    <x v="3"/>
    <x v="11"/>
  </r>
  <r>
    <d v="2022-09-23T00:00:00"/>
    <d v="2022-11-07T00:00:00"/>
    <n v="38"/>
    <s v="01-FN01-00002059"/>
    <n v="20563716569"/>
    <s v="R &amp; R NATURAL E.I.R.L."/>
    <x v="3"/>
    <s v="S/"/>
    <n v="21210.69"/>
    <n v="0"/>
    <x v="3"/>
    <x v="11"/>
  </r>
  <r>
    <d v="2022-07-11T00:00:00"/>
    <d v="2022-11-08T00:00:00"/>
    <n v="37"/>
    <s v="01-FN01-00001270"/>
    <n v="20100154308"/>
    <s v="SAN FERNANDO S.A."/>
    <x v="1"/>
    <s v="S/"/>
    <n v="2655"/>
    <n v="0"/>
    <x v="3"/>
    <x v="11"/>
  </r>
  <r>
    <d v="2022-07-11T00:00:00"/>
    <d v="2022-11-08T00:00:00"/>
    <n v="37"/>
    <s v="01-FN01-00001267"/>
    <n v="20100154308"/>
    <s v="SAN FERNANDO S.A."/>
    <x v="1"/>
    <s v="S/"/>
    <n v="10358.040000000001"/>
    <n v="0"/>
    <x v="3"/>
    <x v="11"/>
  </r>
  <r>
    <d v="2022-07-11T00:00:00"/>
    <d v="2022-11-08T00:00:00"/>
    <n v="37"/>
    <s v="01-FN01-00001265"/>
    <n v="20100154308"/>
    <s v="SAN FERNANDO S.A."/>
    <x v="1"/>
    <s v="S/"/>
    <n v="21211.68"/>
    <n v="0"/>
    <x v="3"/>
    <x v="11"/>
  </r>
  <r>
    <d v="2022-10-10T00:00:00"/>
    <d v="2022-11-09T00:00:00"/>
    <n v="36"/>
    <s v="01-E001-00000578"/>
    <n v="20534627310"/>
    <s v="INVERSIONES AGROINDUSTRIALES ANCALU S.A.C."/>
    <x v="0"/>
    <s v="S/"/>
    <n v="4672.8"/>
    <n v="0"/>
    <x v="3"/>
    <x v="11"/>
  </r>
  <r>
    <d v="2022-10-12T00:00:00"/>
    <d v="2022-11-11T00:00:00"/>
    <n v="34"/>
    <s v="01-FN01-00002274"/>
    <n v="20609990032"/>
    <s v="AVICOLA PADOVA S.A.C."/>
    <x v="5"/>
    <s v="S/"/>
    <n v="2832"/>
    <n v="0"/>
    <x v="3"/>
    <x v="11"/>
  </r>
  <r>
    <d v="2022-09-12T00:00:00"/>
    <d v="2022-11-11T00:00:00"/>
    <n v="34"/>
    <s v="01-FN01-00001918"/>
    <n v="20506421781"/>
    <s v="CORPORACION RICO S.A.C."/>
    <x v="3"/>
    <s v="US$"/>
    <n v="0"/>
    <n v="200.6"/>
    <x v="3"/>
    <x v="11"/>
  </r>
  <r>
    <d v="2022-10-12T00:00:00"/>
    <d v="2022-11-11T00:00:00"/>
    <n v="34"/>
    <s v="01-FN01-00002290"/>
    <n v="20538241378"/>
    <s v="HUEVOS S.A.C."/>
    <x v="0"/>
    <s v="S/"/>
    <n v="9156.1299999999992"/>
    <n v="0"/>
    <x v="3"/>
    <x v="11"/>
  </r>
  <r>
    <d v="2022-10-12T00:00:00"/>
    <d v="2022-11-11T00:00:00"/>
    <n v="34"/>
    <s v="01-FN01-00002267"/>
    <n v="20606753820"/>
    <s v="INCUBADORA SANTA SOFIA S.A.C."/>
    <x v="3"/>
    <s v="S/"/>
    <n v="1484.03"/>
    <n v="0"/>
    <x v="3"/>
    <x v="11"/>
  </r>
  <r>
    <d v="2022-09-27T00:00:00"/>
    <d v="2022-11-11T00:00:00"/>
    <n v="34"/>
    <s v="01-FN01-00002078"/>
    <n v="20603042612"/>
    <s v="NUTRISERVICIOS PECUARIOS MATSANTI E.I.R.L."/>
    <x v="3"/>
    <s v="US$"/>
    <n v="0"/>
    <n v="415.36"/>
    <x v="3"/>
    <x v="11"/>
  </r>
  <r>
    <d v="2022-09-27T00:00:00"/>
    <d v="2022-11-11T00:00:00"/>
    <n v="34"/>
    <s v="01-FN01-00002079"/>
    <n v="20603042612"/>
    <s v="NUTRISERVICIOS PECUARIOS MATSANTI E.I.R.L."/>
    <x v="3"/>
    <s v="S/"/>
    <n v="684.4"/>
    <n v="0"/>
    <x v="3"/>
    <x v="11"/>
  </r>
  <r>
    <d v="2022-09-27T00:00:00"/>
    <d v="2022-11-11T00:00:00"/>
    <n v="34"/>
    <s v="01-FN01-00002084"/>
    <n v="20603042612"/>
    <s v="NUTRISERVICIOS PECUARIOS MATSANTI E.I.R.L."/>
    <x v="3"/>
    <s v="S/"/>
    <n v="3079.8"/>
    <n v="0"/>
    <x v="3"/>
    <x v="11"/>
  </r>
  <r>
    <d v="2022-09-13T00:00:00"/>
    <d v="2022-11-12T00:00:00"/>
    <n v="33"/>
    <s v="01-FN01-00001928"/>
    <n v="20320731314"/>
    <s v="AGROPECUARIA DOÑA SILVIA S.R.L."/>
    <x v="1"/>
    <s v="US$"/>
    <n v="0"/>
    <n v="8477.1200000000008"/>
    <x v="3"/>
    <x v="11"/>
  </r>
  <r>
    <d v="2022-09-13T00:00:00"/>
    <d v="2022-11-12T00:00:00"/>
    <n v="33"/>
    <s v="01-FN01-00001939"/>
    <n v="20601830818"/>
    <s v="FUNDO VILLA ESMERALDA E.I.R.L."/>
    <x v="0"/>
    <s v="S/"/>
    <n v="1297.29"/>
    <n v="0"/>
    <x v="3"/>
    <x v="11"/>
  </r>
  <r>
    <d v="2022-09-14T00:00:00"/>
    <d v="2022-11-13T00:00:00"/>
    <n v="32"/>
    <s v="01-FN01-00001967"/>
    <n v="20320731314"/>
    <s v="AGROPECUARIA DOÑA SILVIA S.R.L."/>
    <x v="1"/>
    <s v="US$"/>
    <n v="0"/>
    <n v="8477.1200000000008"/>
    <x v="3"/>
    <x v="11"/>
  </r>
  <r>
    <d v="2022-09-14T00:00:00"/>
    <d v="2022-11-13T00:00:00"/>
    <n v="32"/>
    <s v="01-FN01-00001968"/>
    <n v="20132373958"/>
    <s v="CHIMU AGROPECUARIA S.A."/>
    <x v="5"/>
    <s v="S/"/>
    <n v="5054.83"/>
    <n v="0"/>
    <x v="3"/>
    <x v="11"/>
  </r>
  <r>
    <d v="2022-09-14T00:00:00"/>
    <d v="2022-11-13T00:00:00"/>
    <n v="32"/>
    <s v="01-FN01-00001969"/>
    <n v="20132373958"/>
    <s v="CHIMU AGROPECUARIA S.A."/>
    <x v="5"/>
    <s v="S/"/>
    <n v="7032.8"/>
    <n v="0"/>
    <x v="3"/>
    <x v="11"/>
  </r>
  <r>
    <d v="2022-09-14T00:00:00"/>
    <d v="2022-11-13T00:00:00"/>
    <n v="32"/>
    <s v="01-FN01-00001958"/>
    <n v="20601830818"/>
    <s v="FUNDO VILLA ESMERALDA E.I.R.L."/>
    <x v="0"/>
    <s v="US$"/>
    <n v="0"/>
    <n v="60.77"/>
    <x v="3"/>
    <x v="11"/>
  </r>
  <r>
    <d v="2022-09-16T00:00:00"/>
    <d v="2022-11-15T00:00:00"/>
    <n v="30"/>
    <s v="01-FN01-00001987"/>
    <n v="20601830818"/>
    <s v="FUNDO VILLA ESMERALDA E.I.R.L."/>
    <x v="0"/>
    <s v="US$"/>
    <n v="0"/>
    <n v="693.84"/>
    <x v="4"/>
    <x v="11"/>
  </r>
  <r>
    <d v="2022-09-16T00:00:00"/>
    <d v="2022-11-15T00:00:00"/>
    <n v="30"/>
    <s v="01-FN01-00001983"/>
    <n v="20601830818"/>
    <s v="FUNDO VILLA ESMERALDA E.I.R.L."/>
    <x v="0"/>
    <s v="S/"/>
    <n v="1604.8"/>
    <n v="0"/>
    <x v="4"/>
    <x v="11"/>
  </r>
  <r>
    <d v="2022-10-17T00:00:00"/>
    <d v="2022-11-16T00:00:00"/>
    <n v="29"/>
    <s v="01-E001-00000601"/>
    <n v="20606113758"/>
    <s v="INVERSIONES PAMPA REAL S.A.C."/>
    <x v="0"/>
    <s v="S/"/>
    <n v="254.95"/>
    <n v="0"/>
    <x v="4"/>
    <x v="11"/>
  </r>
  <r>
    <d v="2022-10-18T00:00:00"/>
    <d v="2022-11-17T00:00:00"/>
    <n v="28"/>
    <s v="01-E001-00000622"/>
    <n v="20355110916"/>
    <s v="AGROPECUARIA CHAVIN S.A.C"/>
    <x v="5"/>
    <s v="US$"/>
    <n v="0"/>
    <n v="3808.31"/>
    <x v="4"/>
    <x v="11"/>
  </r>
  <r>
    <d v="2022-10-18T00:00:00"/>
    <d v="2022-11-17T00:00:00"/>
    <n v="28"/>
    <s v="01-E001-00000621"/>
    <n v="20355110916"/>
    <s v="AGROPECUARIA CHAVIN S.A.C"/>
    <x v="5"/>
    <s v="US$"/>
    <n v="0"/>
    <n v="1215.49"/>
    <x v="4"/>
    <x v="11"/>
  </r>
  <r>
    <d v="2022-10-18T00:00:00"/>
    <d v="2022-11-17T00:00:00"/>
    <n v="28"/>
    <s v="01-E001-00000619"/>
    <n v="20355110916"/>
    <s v="AGROPECUARIA CHAVIN S.A.C"/>
    <x v="5"/>
    <s v="US$"/>
    <n v="0"/>
    <n v="726.24"/>
    <x v="4"/>
    <x v="11"/>
  </r>
  <r>
    <d v="2022-10-18T00:00:00"/>
    <d v="2022-11-17T00:00:00"/>
    <n v="28"/>
    <s v="01-E001-00000620"/>
    <n v="20355110916"/>
    <s v="AGROPECUARIA CHAVIN S.A.C"/>
    <x v="5"/>
    <s v="US$"/>
    <n v="0"/>
    <n v="3542.18"/>
    <x v="4"/>
    <x v="11"/>
  </r>
  <r>
    <d v="2022-10-03T00:00:00"/>
    <d v="2022-11-17T00:00:00"/>
    <n v="28"/>
    <s v="01-FN01-00002182"/>
    <n v="20534406496"/>
    <s v="GRANJA AVICOLA REC S.A.C."/>
    <x v="0"/>
    <s v="S/"/>
    <n v="8482.64"/>
    <n v="0"/>
    <x v="4"/>
    <x v="11"/>
  </r>
  <r>
    <d v="2022-09-19T00:00:00"/>
    <d v="2022-11-18T00:00:00"/>
    <n v="27"/>
    <s v="01-FN01-00002004"/>
    <n v="20320731314"/>
    <s v="AGROPECUARIA DOÑA SILVIA S.R.L."/>
    <x v="1"/>
    <s v="US$"/>
    <n v="0"/>
    <n v="8477.1200000000008"/>
    <x v="4"/>
    <x v="11"/>
  </r>
  <r>
    <d v="2022-10-19T00:00:00"/>
    <d v="2022-11-18T00:00:00"/>
    <n v="27"/>
    <s v="01-E001-00000648"/>
    <n v="10188333597"/>
    <s v="FLORIAN LESCANO MODESTO MARCELINO"/>
    <x v="5"/>
    <s v="US$"/>
    <n v="0"/>
    <n v="346.92"/>
    <x v="4"/>
    <x v="11"/>
  </r>
  <r>
    <d v="2022-10-19T00:00:00"/>
    <d v="2022-11-18T00:00:00"/>
    <n v="27"/>
    <s v="01-E001-00000643"/>
    <n v="20600450329"/>
    <s v="INVERSIONES AVIPECUARIAS LA YEMA DE ORO E.I.R.L."/>
    <x v="0"/>
    <s v="US$"/>
    <n v="0"/>
    <n v="590"/>
    <x v="4"/>
    <x v="11"/>
  </r>
  <r>
    <d v="2022-11-11T00:00:00"/>
    <d v="2022-11-18T00:00:00"/>
    <n v="27"/>
    <s v="01-FN01-00002642"/>
    <n v="20606113758"/>
    <s v="INVERSIONES PAMPA REAL S.A.C."/>
    <x v="0"/>
    <s v="S/"/>
    <n v="3370.08"/>
    <n v="0"/>
    <x v="4"/>
    <x v="11"/>
  </r>
  <r>
    <d v="2022-11-18T00:00:00"/>
    <d v="2022-11-18T00:00:00"/>
    <n v="27"/>
    <s v="03-BN01-00000199"/>
    <n v="23600869"/>
    <s v="LUNA PEVE BRAULIA"/>
    <x v="0"/>
    <s v="S/"/>
    <n v="597.5"/>
    <n v="0"/>
    <x v="4"/>
    <x v="11"/>
  </r>
  <r>
    <d v="2022-10-04T00:00:00"/>
    <d v="2022-11-18T00:00:00"/>
    <n v="27"/>
    <s v="01-FN01-00002197"/>
    <n v="20602768512"/>
    <s v="PERULAB ECOLOGIC S.A.C."/>
    <x v="0"/>
    <s v="S/"/>
    <n v="7288.15"/>
    <n v="0"/>
    <x v="4"/>
    <x v="11"/>
  </r>
  <r>
    <d v="2022-10-04T00:00:00"/>
    <d v="2022-11-18T00:00:00"/>
    <n v="27"/>
    <s v="01-FN01-00002194"/>
    <n v="20602768512"/>
    <s v="PERULAB ECOLOGIC S.A.C."/>
    <x v="0"/>
    <s v="US$"/>
    <n v="0"/>
    <n v="64.900000000000006"/>
    <x v="4"/>
    <x v="11"/>
  </r>
  <r>
    <d v="2022-10-20T00:00:00"/>
    <d v="2022-11-19T00:00:00"/>
    <n v="26"/>
    <s v="01-FN01-00002323"/>
    <n v="20540079227"/>
    <s v="AGROPECUARIA AVIPORC S.A.C."/>
    <x v="5"/>
    <s v="US$"/>
    <n v="0"/>
    <n v="337.61"/>
    <x v="4"/>
    <x v="11"/>
  </r>
  <r>
    <d v="2022-10-20T00:00:00"/>
    <d v="2022-11-19T00:00:00"/>
    <n v="26"/>
    <s v="01-FN01-00002322"/>
    <n v="20540079227"/>
    <s v="AGROPECUARIA AVIPORC S.A.C."/>
    <x v="5"/>
    <s v="S/"/>
    <n v="2285.14"/>
    <n v="0"/>
    <x v="4"/>
    <x v="11"/>
  </r>
  <r>
    <d v="2022-10-20T00:00:00"/>
    <d v="2022-11-19T00:00:00"/>
    <n v="26"/>
    <s v="01-FN01-00002320"/>
    <n v="20605834354"/>
    <s v="ANIMAL MARKET PERU S.A.C."/>
    <x v="0"/>
    <s v="US$"/>
    <n v="0"/>
    <n v="463.03"/>
    <x v="4"/>
    <x v="11"/>
  </r>
  <r>
    <d v="2022-10-20T00:00:00"/>
    <d v="2022-11-19T00:00:00"/>
    <n v="26"/>
    <s v="01-FN01-00002312"/>
    <n v="20467089464"/>
    <s v="FUMINSUMOS S.R.L."/>
    <x v="4"/>
    <s v="US$"/>
    <n v="0"/>
    <n v="665.52"/>
    <x v="4"/>
    <x v="11"/>
  </r>
  <r>
    <d v="2022-10-21T00:00:00"/>
    <d v="2022-11-20T00:00:00"/>
    <n v="25"/>
    <s v="01-FN01-00002344"/>
    <n v="20450497950"/>
    <s v="DON POLLO TROPICAL S.A.C."/>
    <x v="2"/>
    <s v="US$"/>
    <n v="0"/>
    <n v="3119.04"/>
    <x v="4"/>
    <x v="11"/>
  </r>
  <r>
    <d v="2022-10-21T00:00:00"/>
    <d v="2022-11-20T00:00:00"/>
    <n v="25"/>
    <s v="01-FN01-00002343"/>
    <n v="20450497950"/>
    <s v="DON POLLO TROPICAL S.A.C."/>
    <x v="2"/>
    <s v="US$"/>
    <n v="0"/>
    <n v="429.23"/>
    <x v="4"/>
    <x v="11"/>
  </r>
  <r>
    <d v="2022-10-21T00:00:00"/>
    <d v="2022-11-20T00:00:00"/>
    <n v="25"/>
    <s v="01-FN01-00002341"/>
    <n v="20509902730"/>
    <s v="INVERSIONES AGROPECUARIAS HC SAC"/>
    <x v="1"/>
    <s v="US$"/>
    <n v="0"/>
    <n v="289.93"/>
    <x v="4"/>
    <x v="11"/>
  </r>
  <r>
    <d v="2022-09-23T00:00:00"/>
    <d v="2022-11-22T00:00:00"/>
    <n v="23"/>
    <s v="01-FN01-00002063"/>
    <n v="20320731314"/>
    <s v="AGROPECUARIA DOÑA SILVIA S.R.L."/>
    <x v="1"/>
    <s v="US$"/>
    <n v="0"/>
    <n v="8477.1200000000008"/>
    <x v="4"/>
    <x v="11"/>
  </r>
  <r>
    <d v="2022-11-22T00:00:00"/>
    <d v="2022-11-22T00:00:00"/>
    <n v="23"/>
    <s v="01-FN01-00002796"/>
    <n v="20609990032"/>
    <s v="AVICOLA PADOVA S.A.C."/>
    <x v="5"/>
    <s v="S/"/>
    <n v="1416"/>
    <n v="0"/>
    <x v="4"/>
    <x v="11"/>
  </r>
  <r>
    <d v="2022-11-22T00:00:00"/>
    <d v="2022-11-22T00:00:00"/>
    <n v="23"/>
    <s v="03-BN01-00000205"/>
    <n v="29532091"/>
    <s v="CARRASCO HANCO FRANCISCA"/>
    <x v="3"/>
    <s v="US$"/>
    <n v="0"/>
    <n v="154.52000000000001"/>
    <x v="4"/>
    <x v="11"/>
  </r>
  <r>
    <d v="2022-11-22T00:00:00"/>
    <d v="2022-11-22T00:00:00"/>
    <n v="23"/>
    <s v="01-FN01-00002793"/>
    <n v="20527979936"/>
    <s v="MULTIGRANJA SANTA ROSA S.C.R.L."/>
    <x v="3"/>
    <s v="S/"/>
    <n v="634.97"/>
    <n v="0"/>
    <x v="4"/>
    <x v="11"/>
  </r>
  <r>
    <d v="2022-10-24T00:00:00"/>
    <d v="2022-11-23T00:00:00"/>
    <n v="22"/>
    <s v="01-FN01-00002381"/>
    <n v="20393851989"/>
    <s v="CORPORACION AGROVETERINARIA DANYEL Y ASOCIADOS S.A.C."/>
    <x v="2"/>
    <s v="S/"/>
    <n v="2053.1999999999998"/>
    <n v="0"/>
    <x v="4"/>
    <x v="11"/>
  </r>
  <r>
    <d v="2022-10-24T00:00:00"/>
    <d v="2022-11-23T00:00:00"/>
    <n v="22"/>
    <s v="01-FN01-00002359"/>
    <n v="20389715060"/>
    <s v="EL COMEDERO S.R.L."/>
    <x v="0"/>
    <s v="US$"/>
    <n v="0"/>
    <n v="413"/>
    <x v="4"/>
    <x v="11"/>
  </r>
  <r>
    <d v="2022-10-24T00:00:00"/>
    <d v="2022-11-23T00:00:00"/>
    <n v="22"/>
    <s v="01-FN01-00002357"/>
    <n v="20603536372"/>
    <s v="INTEGRACION TORRES S.A.C."/>
    <x v="3"/>
    <s v="US$"/>
    <n v="0"/>
    <n v="1138.1099999999999"/>
    <x v="4"/>
    <x v="11"/>
  </r>
  <r>
    <d v="2022-10-24T00:00:00"/>
    <d v="2022-11-23T00:00:00"/>
    <n v="22"/>
    <s v="01-FN01-00002371"/>
    <n v="20566031583"/>
    <s v="INVERSIONES &amp; REPRESENTACIONES GASUR E.I.R.L."/>
    <x v="0"/>
    <s v="US$"/>
    <n v="0"/>
    <n v="1625.45"/>
    <x v="4"/>
    <x v="11"/>
  </r>
  <r>
    <d v="2022-10-24T00:00:00"/>
    <d v="2022-11-23T00:00:00"/>
    <n v="22"/>
    <s v="01-FN01-00002374"/>
    <n v="20600450329"/>
    <s v="INVERSIONES AVIPECUARIAS LA YEMA DE ORO E.I.R.L."/>
    <x v="0"/>
    <s v="US$"/>
    <n v="0"/>
    <n v="756.97"/>
    <x v="4"/>
    <x v="11"/>
  </r>
  <r>
    <d v="2022-10-24T00:00:00"/>
    <d v="2022-11-23T00:00:00"/>
    <n v="22"/>
    <s v="01-FN01-00002373"/>
    <n v="20600450329"/>
    <s v="INVERSIONES AVIPECUARIAS LA YEMA DE ORO E.I.R.L."/>
    <x v="0"/>
    <s v="S/"/>
    <n v="1557.6"/>
    <n v="0"/>
    <x v="4"/>
    <x v="11"/>
  </r>
  <r>
    <d v="2022-11-16T00:00:00"/>
    <d v="2022-11-23T00:00:00"/>
    <n v="22"/>
    <s v="01-FN01-00002712"/>
    <n v="20606113758"/>
    <s v="INVERSIONES PAMPA REAL S.A.C."/>
    <x v="0"/>
    <s v="S/"/>
    <n v="3610.8"/>
    <n v="0"/>
    <x v="4"/>
    <x v="11"/>
  </r>
  <r>
    <d v="2022-11-23T00:00:00"/>
    <d v="2022-11-23T00:00:00"/>
    <n v="22"/>
    <s v="03-BN01-00000208"/>
    <n v="46201144"/>
    <s v="MASCO MAYTA,HAYDEE LUZ"/>
    <x v="3"/>
    <s v="S/"/>
    <n v="1212.6199999999999"/>
    <n v="0"/>
    <x v="4"/>
    <x v="11"/>
  </r>
  <r>
    <d v="2022-11-23T00:00:00"/>
    <d v="2022-11-23T00:00:00"/>
    <n v="22"/>
    <s v="03-BN01-00000209"/>
    <n v="46201144"/>
    <s v="MASCO MAYTA,HAYDEE LUZ"/>
    <x v="3"/>
    <s v="US$"/>
    <n v="0"/>
    <n v="70.8"/>
    <x v="4"/>
    <x v="11"/>
  </r>
  <r>
    <d v="2022-10-25T00:00:00"/>
    <d v="2022-11-24T00:00:00"/>
    <n v="21"/>
    <s v="01-FN01-00002387"/>
    <n v="20602565786"/>
    <s v="ASR PECUARIA S.A.C. - ASRP S.A.C."/>
    <x v="1"/>
    <s v="S/"/>
    <n v="2596"/>
    <n v="0"/>
    <x v="4"/>
    <x v="11"/>
  </r>
  <r>
    <d v="2022-10-25T00:00:00"/>
    <d v="2022-11-24T00:00:00"/>
    <n v="21"/>
    <s v="03-BN01-00000176"/>
    <n v="47055433"/>
    <s v="BOZA ESPINOZA JUAN DAVID"/>
    <x v="5"/>
    <s v="US$"/>
    <n v="0"/>
    <n v="590"/>
    <x v="4"/>
    <x v="11"/>
  </r>
  <r>
    <d v="2022-10-25T00:00:00"/>
    <d v="2022-11-24T00:00:00"/>
    <n v="21"/>
    <s v="01-FN01-00002402"/>
    <n v="20193112791"/>
    <s v="INTEGRACION LUZ S.C.R.L."/>
    <x v="3"/>
    <s v="S/"/>
    <n v="85"/>
    <n v="0"/>
    <x v="4"/>
    <x v="11"/>
  </r>
  <r>
    <d v="2022-10-25T00:00:00"/>
    <d v="2022-11-24T00:00:00"/>
    <n v="21"/>
    <s v="01-FN01-00002408"/>
    <n v="20509902730"/>
    <s v="INVERSIONES AGROPECUARIAS HC SAC"/>
    <x v="1"/>
    <s v="US$"/>
    <n v="0"/>
    <n v="118"/>
    <x v="4"/>
    <x v="11"/>
  </r>
  <r>
    <d v="2022-10-25T00:00:00"/>
    <d v="2022-11-24T00:00:00"/>
    <n v="21"/>
    <s v="01-FN01-00002399"/>
    <n v="20516083647"/>
    <s v="PONEDORAS S.A.C."/>
    <x v="1"/>
    <s v="US$"/>
    <n v="0"/>
    <n v="1972.96"/>
    <x v="4"/>
    <x v="11"/>
  </r>
  <r>
    <d v="2022-10-26T00:00:00"/>
    <d v="2022-11-25T00:00:00"/>
    <n v="20"/>
    <s v="01-FN01-00002435"/>
    <n v="20540079227"/>
    <s v="AGROPECUARIA AVIPORC S.A.C."/>
    <x v="5"/>
    <s v="S/"/>
    <n v="686.58"/>
    <n v="0"/>
    <x v="4"/>
    <x v="11"/>
  </r>
  <r>
    <d v="2022-10-26T00:00:00"/>
    <d v="2022-11-25T00:00:00"/>
    <n v="20"/>
    <s v="01-FN01-00002421"/>
    <n v="20605834354"/>
    <s v="ANIMAL MARKET PERU S.A.C."/>
    <x v="0"/>
    <s v="S/"/>
    <n v="475.82"/>
    <n v="0"/>
    <x v="4"/>
    <x v="11"/>
  </r>
  <r>
    <d v="2022-11-25T00:00:00"/>
    <d v="2022-11-25T00:00:00"/>
    <n v="20"/>
    <s v="01-FN01-00002841"/>
    <n v="20494006678"/>
    <s v="AVICOLA CRESTA ROJA EIRL."/>
    <x v="2"/>
    <s v="S/"/>
    <n v="2122.08"/>
    <n v="0"/>
    <x v="4"/>
    <x v="11"/>
  </r>
  <r>
    <d v="2022-09-26T00:00:00"/>
    <d v="2022-11-25T00:00:00"/>
    <n v="20"/>
    <s v="01-FN01-00002073"/>
    <n v="20132373958"/>
    <s v="CHIMU AGROPECUARIA S.A."/>
    <x v="5"/>
    <s v="S/"/>
    <n v="5054.83"/>
    <n v="0"/>
    <x v="4"/>
    <x v="11"/>
  </r>
  <r>
    <d v="2022-10-26T00:00:00"/>
    <d v="2022-11-25T00:00:00"/>
    <n v="20"/>
    <s v="01-FN01-00002415"/>
    <n v="20393851989"/>
    <s v="CORPORACION AGROVETERINARIA DANYEL Y ASOCIADOS S.A.C."/>
    <x v="2"/>
    <s v="US$"/>
    <n v="0"/>
    <n v="162.84"/>
    <x v="4"/>
    <x v="11"/>
  </r>
  <r>
    <d v="2022-10-26T00:00:00"/>
    <d v="2022-11-25T00:00:00"/>
    <n v="20"/>
    <s v="01-FN01-00002436"/>
    <n v="20450497950"/>
    <s v="DON POLLO TROPICAL S.A.C."/>
    <x v="2"/>
    <s v="US$"/>
    <n v="0"/>
    <n v="3090.42"/>
    <x v="4"/>
    <x v="11"/>
  </r>
  <r>
    <d v="2022-10-26T00:00:00"/>
    <d v="2022-11-25T00:00:00"/>
    <n v="20"/>
    <s v="01-FN01-00002444"/>
    <n v="20393719100"/>
    <s v="INVERSIONES COCOROCO E.I.R.L."/>
    <x v="2"/>
    <s v="US$"/>
    <n v="0"/>
    <n v="2183"/>
    <x v="4"/>
    <x v="11"/>
  </r>
  <r>
    <d v="2022-10-12T00:00:00"/>
    <d v="2022-11-26T00:00:00"/>
    <n v="19"/>
    <s v="01-FN01-00002288"/>
    <n v="20542356317"/>
    <s v="AGROINVERSIONES MARIO S.A.C."/>
    <x v="2"/>
    <s v="S/"/>
    <n v="6159.6"/>
    <n v="0"/>
    <x v="4"/>
    <x v="11"/>
  </r>
  <r>
    <d v="2022-09-27T00:00:00"/>
    <d v="2022-11-26T00:00:00"/>
    <n v="19"/>
    <s v="01-FN01-00002091"/>
    <n v="20320731314"/>
    <s v="AGROPECUARIA DOÑA SILVIA S.R.L."/>
    <x v="1"/>
    <s v="US$"/>
    <n v="0"/>
    <n v="1291.3900000000001"/>
    <x v="4"/>
    <x v="11"/>
  </r>
  <r>
    <d v="2022-09-27T00:00:00"/>
    <d v="2022-11-26T00:00:00"/>
    <n v="19"/>
    <s v="01-FN01-00002105"/>
    <n v="20320731314"/>
    <s v="AGROPECUARIA DOÑA SILVIA S.R.L."/>
    <x v="1"/>
    <s v="US$"/>
    <n v="0"/>
    <n v="8477.1200000000008"/>
    <x v="4"/>
    <x v="11"/>
  </r>
  <r>
    <d v="2022-10-27T00:00:00"/>
    <d v="2022-11-26T00:00:00"/>
    <n v="19"/>
    <s v="01-FN01-00002457"/>
    <n v="20203252324"/>
    <s v="AGROPECUARIA VALLECITO S.A."/>
    <x v="0"/>
    <s v="US$"/>
    <n v="0"/>
    <n v="415.36"/>
    <x v="4"/>
    <x v="11"/>
  </r>
  <r>
    <d v="2022-10-27T00:00:00"/>
    <d v="2022-11-26T00:00:00"/>
    <n v="19"/>
    <s v="01-FN01-00002452"/>
    <n v="20135541703"/>
    <s v="DON GOYO S.A."/>
    <x v="2"/>
    <s v="US$"/>
    <n v="0"/>
    <n v="649"/>
    <x v="4"/>
    <x v="11"/>
  </r>
  <r>
    <d v="2022-10-28T00:00:00"/>
    <d v="2022-11-27T00:00:00"/>
    <n v="18"/>
    <s v="01-FN05-00000118"/>
    <n v="20601494095"/>
    <s v="ADDERA PERU S.A.C."/>
    <x v="4"/>
    <s v="US$"/>
    <n v="0"/>
    <n v="159.30000000000001"/>
    <x v="4"/>
    <x v="11"/>
  </r>
  <r>
    <d v="2022-10-13T00:00:00"/>
    <d v="2022-11-27T00:00:00"/>
    <n v="18"/>
    <s v="01-FN01-00002305"/>
    <n v="20600194144"/>
    <s v="AVICOLA GRAN HUEVO S.A.C"/>
    <x v="0"/>
    <s v="US$"/>
    <n v="0"/>
    <n v="2404.25"/>
    <x v="4"/>
    <x v="11"/>
  </r>
  <r>
    <d v="2022-11-21T00:00:00"/>
    <d v="2022-11-28T00:00:00"/>
    <n v="17"/>
    <s v="01-FN01-00002771"/>
    <n v="20601908701"/>
    <s v="AVIPECUARIA LANFER E.I.R.L."/>
    <x v="0"/>
    <s v="S/"/>
    <n v="2345.1999999999998"/>
    <n v="0"/>
    <x v="4"/>
    <x v="11"/>
  </r>
  <r>
    <d v="2022-11-21T00:00:00"/>
    <d v="2022-11-28T00:00:00"/>
    <n v="17"/>
    <s v="01-FN01-00002772"/>
    <n v="20602148948"/>
    <s v="AVIPECUARIA VAJU E.I.R.L."/>
    <x v="0"/>
    <s v="S/"/>
    <n v="2421.25"/>
    <n v="0"/>
    <x v="4"/>
    <x v="11"/>
  </r>
  <r>
    <d v="2022-11-28T00:00:00"/>
    <d v="2022-11-28T00:00:00"/>
    <n v="17"/>
    <s v="01-FN01-00002874"/>
    <n v="20452351227"/>
    <s v="NEGOCIACION AVICOLA BEATA MELCHORITA S.R.L."/>
    <x v="0"/>
    <s v="US$"/>
    <n v="0"/>
    <n v="1664.01"/>
    <x v="4"/>
    <x v="11"/>
  </r>
  <r>
    <d v="2022-09-30T00:00:00"/>
    <d v="2022-11-29T00:00:00"/>
    <n v="16"/>
    <s v="01-FN01-00002160"/>
    <n v="20320731314"/>
    <s v="AGROPECUARIA DOÑA SILVIA S.R.L."/>
    <x v="1"/>
    <s v="US$"/>
    <n v="0"/>
    <n v="8477.1200000000008"/>
    <x v="4"/>
    <x v="11"/>
  </r>
  <r>
    <d v="2022-11-29T00:00:00"/>
    <d v="2022-11-29T00:00:00"/>
    <n v="16"/>
    <s v="01-FN01-00002888"/>
    <n v="20609553783"/>
    <s v="AVICOLA LOW PRICE E.I.R.L"/>
    <x v="0"/>
    <s v="US$"/>
    <n v="0"/>
    <n v="140.13"/>
    <x v="4"/>
    <x v="11"/>
  </r>
  <r>
    <d v="2022-09-30T00:00:00"/>
    <d v="2022-11-29T00:00:00"/>
    <n v="16"/>
    <s v="01-FN01-00002167"/>
    <n v="20132373958"/>
    <s v="CHIMU AGROPECUARIA S.A."/>
    <x v="5"/>
    <s v="S/"/>
    <n v="9450.33"/>
    <n v="0"/>
    <x v="4"/>
    <x v="11"/>
  </r>
  <r>
    <d v="2022-09-30T00:00:00"/>
    <d v="2022-11-29T00:00:00"/>
    <n v="16"/>
    <s v="01-FN01-00002163"/>
    <n v="20494022797"/>
    <s v="DEMETRIOS CHICKEN S.A.C"/>
    <x v="2"/>
    <s v="S/"/>
    <n v="5656.04"/>
    <n v="0"/>
    <x v="4"/>
    <x v="11"/>
  </r>
  <r>
    <d v="2022-09-30T00:00:00"/>
    <d v="2022-11-29T00:00:00"/>
    <n v="16"/>
    <s v="01-FN01-00002161"/>
    <n v="20155261570"/>
    <s v="GRUPO SANTA ELENA S.A."/>
    <x v="0"/>
    <s v="S/"/>
    <n v="545.16"/>
    <n v="0"/>
    <x v="4"/>
    <x v="11"/>
  </r>
  <r>
    <d v="2022-11-29T00:00:00"/>
    <d v="2022-11-29T00:00:00"/>
    <n v="16"/>
    <s v="01-FN01-00002897"/>
    <n v="20534627310"/>
    <s v="INVERSIONES AGROINDUSTRIALES ANCALU S.A.C."/>
    <x v="0"/>
    <s v="S/"/>
    <n v="1447.1"/>
    <n v="0"/>
    <x v="4"/>
    <x v="11"/>
  </r>
  <r>
    <d v="2022-08-01T00:00:00"/>
    <d v="2022-11-29T00:00:00"/>
    <n v="16"/>
    <s v="01-FN01-00001492"/>
    <n v="20100154308"/>
    <s v="SAN FERNANDO S.A."/>
    <x v="1"/>
    <s v="S/"/>
    <n v="61.95"/>
    <n v="0"/>
    <x v="4"/>
    <x v="11"/>
  </r>
  <r>
    <d v="2022-08-01T00:00:00"/>
    <d v="2022-11-29T00:00:00"/>
    <n v="16"/>
    <s v="01-FN01-00001484"/>
    <n v="20100154308"/>
    <s v="SAN FERNANDO S.A."/>
    <x v="1"/>
    <s v="S/"/>
    <n v="8878.32"/>
    <n v="0"/>
    <x v="4"/>
    <x v="11"/>
  </r>
  <r>
    <d v="2022-09-30T00:00:00"/>
    <d v="2022-11-29T00:00:00"/>
    <n v="16"/>
    <s v="01-FN01-00002156"/>
    <n v="20609609711"/>
    <s v="VILLA ESMERALDA S.A.C."/>
    <x v="0"/>
    <s v="S/"/>
    <n v="7975.86"/>
    <n v="0"/>
    <x v="4"/>
    <x v="11"/>
  </r>
  <r>
    <d v="2022-10-31T00:00:00"/>
    <d v="2022-11-30T00:00:00"/>
    <n v="15"/>
    <s v="01-FN05-00000137"/>
    <n v="20601494095"/>
    <s v="ADDERA PERU S.A.C."/>
    <x v="4"/>
    <s v="S/"/>
    <n v="495.6"/>
    <n v="0"/>
    <x v="5"/>
    <x v="11"/>
  </r>
  <r>
    <d v="2022-10-31T00:00:00"/>
    <d v="2022-11-30T00:00:00"/>
    <n v="15"/>
    <s v="01-FN05-00000138"/>
    <n v="20601494095"/>
    <s v="ADDERA PERU S.A.C."/>
    <x v="4"/>
    <s v="S/"/>
    <n v="259.60000000000002"/>
    <n v="0"/>
    <x v="5"/>
    <x v="11"/>
  </r>
  <r>
    <d v="2022-10-31T00:00:00"/>
    <d v="2022-11-30T00:00:00"/>
    <n v="15"/>
    <s v="01-FN01-00002486"/>
    <n v="20320731314"/>
    <s v="AGROPECUARIA DOÑA SILVIA S.R.L."/>
    <x v="1"/>
    <s v="US$"/>
    <n v="0"/>
    <n v="8477.1200000000008"/>
    <x v="5"/>
    <x v="11"/>
  </r>
  <r>
    <d v="2022-10-31T00:00:00"/>
    <d v="2022-11-30T00:00:00"/>
    <n v="15"/>
    <s v="01-FN01-00002485"/>
    <n v="20320731314"/>
    <s v="AGROPECUARIA DOÑA SILVIA S.R.L."/>
    <x v="1"/>
    <s v="US$"/>
    <n v="0"/>
    <n v="8477.1200000000008"/>
    <x v="5"/>
    <x v="11"/>
  </r>
  <r>
    <d v="2022-11-15T00:00:00"/>
    <d v="2022-11-30T00:00:00"/>
    <n v="15"/>
    <s v="03-BN01-00000194"/>
    <n v="29532091"/>
    <s v="CARRASCO HANCO FRANCISCA"/>
    <x v="3"/>
    <s v="S/"/>
    <n v="620.28"/>
    <n v="0"/>
    <x v="5"/>
    <x v="11"/>
  </r>
  <r>
    <d v="2022-11-30T00:00:00"/>
    <d v="2022-11-30T00:00:00"/>
    <n v="15"/>
    <s v="01-FN01-00002911"/>
    <n v="20607608785"/>
    <s v="FUNDO PECUARIA RICO PIGS S.A.C."/>
    <x v="3"/>
    <s v="S/"/>
    <n v="166.02"/>
    <n v="0"/>
    <x v="5"/>
    <x v="11"/>
  </r>
  <r>
    <d v="2022-10-25T00:00:00"/>
    <d v="2022-11-30T00:00:00"/>
    <n v="15"/>
    <s v="01-FN01-00002401"/>
    <n v="20533031707"/>
    <s v="INTEGRACION AMALIA SOCIEDAD ANONIMA CERRADA - INTEGRACION AMALIA S.A.C."/>
    <x v="3"/>
    <s v="S/"/>
    <n v="85"/>
    <n v="0"/>
    <x v="5"/>
    <x v="11"/>
  </r>
  <r>
    <d v="2022-10-31T00:00:00"/>
    <d v="2022-11-30T00:00:00"/>
    <n v="15"/>
    <s v="01-FN01-00002478"/>
    <n v="20455924724"/>
    <s v="LA GRANJA SERVICIOS VETERINARIOS E.I.R.L."/>
    <x v="3"/>
    <s v="S/"/>
    <n v="2849.46"/>
    <n v="0"/>
    <x v="5"/>
    <x v="11"/>
  </r>
  <r>
    <d v="2022-10-31T00:00:00"/>
    <d v="2022-11-30T00:00:00"/>
    <n v="15"/>
    <s v="01-FN05-00000140"/>
    <n v="20468261082"/>
    <s v="LOS SAUCES REPRESENTACIONES S.A.C."/>
    <x v="4"/>
    <s v="S/"/>
    <n v="8363.25"/>
    <n v="0"/>
    <x v="5"/>
    <x v="11"/>
  </r>
  <r>
    <d v="2022-10-31T00:00:00"/>
    <d v="2022-11-30T00:00:00"/>
    <n v="15"/>
    <s v="01-FN05-00000133"/>
    <n v="20468261082"/>
    <s v="LOS SAUCES REPRESENTACIONES S.A.C."/>
    <x v="4"/>
    <s v="S/"/>
    <n v="188.8"/>
    <n v="0"/>
    <x v="5"/>
    <x v="11"/>
  </r>
  <r>
    <d v="2022-10-31T00:00:00"/>
    <d v="2022-11-30T00:00:00"/>
    <n v="15"/>
    <s v="01-FN05-00000130"/>
    <n v="20468261082"/>
    <s v="LOS SAUCES REPRESENTACIONES S.A.C."/>
    <x v="4"/>
    <s v="S/"/>
    <n v="236"/>
    <n v="0"/>
    <x v="5"/>
    <x v="11"/>
  </r>
  <r>
    <d v="2022-10-31T00:00:00"/>
    <d v="2022-11-30T00:00:00"/>
    <n v="15"/>
    <s v="01-FN05-00000132"/>
    <n v="20468261082"/>
    <s v="LOS SAUCES REPRESENTACIONES S.A.C."/>
    <x v="4"/>
    <s v="S/"/>
    <n v="188.8"/>
    <n v="0"/>
    <x v="5"/>
    <x v="11"/>
  </r>
  <r>
    <d v="2022-10-31T00:00:00"/>
    <d v="2022-11-30T00:00:00"/>
    <n v="15"/>
    <s v="01-FN05-00000134"/>
    <n v="20468261082"/>
    <s v="LOS SAUCES REPRESENTACIONES S.A.C."/>
    <x v="4"/>
    <s v="S/"/>
    <n v="188.8"/>
    <n v="0"/>
    <x v="5"/>
    <x v="11"/>
  </r>
  <r>
    <d v="2022-10-31T00:00:00"/>
    <d v="2022-11-30T00:00:00"/>
    <n v="15"/>
    <s v="01-FN05-00000135"/>
    <n v="20468261082"/>
    <s v="LOS SAUCES REPRESENTACIONES S.A.C."/>
    <x v="4"/>
    <s v="S/"/>
    <n v="188.8"/>
    <n v="0"/>
    <x v="5"/>
    <x v="11"/>
  </r>
  <r>
    <d v="2022-10-31T00:00:00"/>
    <d v="2022-11-30T00:00:00"/>
    <n v="15"/>
    <s v="01-FN05-00000121"/>
    <n v="20468261082"/>
    <s v="LOS SAUCES REPRESENTACIONES S.A.C."/>
    <x v="4"/>
    <s v="S/"/>
    <n v="330.4"/>
    <n v="0"/>
    <x v="5"/>
    <x v="11"/>
  </r>
  <r>
    <d v="2022-10-31T00:00:00"/>
    <d v="2022-11-30T00:00:00"/>
    <n v="15"/>
    <s v="01-FN05-00000120"/>
    <n v="20468261082"/>
    <s v="LOS SAUCES REPRESENTACIONES S.A.C."/>
    <x v="4"/>
    <s v="S/"/>
    <n v="330.4"/>
    <n v="0"/>
    <x v="5"/>
    <x v="11"/>
  </r>
  <r>
    <d v="2022-10-31T00:00:00"/>
    <d v="2022-11-30T00:00:00"/>
    <n v="15"/>
    <s v="01-FN05-00000119"/>
    <n v="20468261082"/>
    <s v="LOS SAUCES REPRESENTACIONES S.A.C."/>
    <x v="4"/>
    <s v="S/"/>
    <n v="15737.71"/>
    <n v="0"/>
    <x v="5"/>
    <x v="11"/>
  </r>
  <r>
    <d v="2022-10-31T00:00:00"/>
    <d v="2022-11-30T00:00:00"/>
    <n v="15"/>
    <s v="01-FN05-00000131"/>
    <n v="20468261082"/>
    <s v="LOS SAUCES REPRESENTACIONES S.A.C."/>
    <x v="4"/>
    <s v="S/"/>
    <n v="330.4"/>
    <n v="0"/>
    <x v="5"/>
    <x v="11"/>
  </r>
  <r>
    <d v="2022-10-31T00:00:00"/>
    <d v="2022-11-30T00:00:00"/>
    <n v="15"/>
    <s v="01-FN05-00000129"/>
    <n v="20468261082"/>
    <s v="LOS SAUCES REPRESENTACIONES S.A.C."/>
    <x v="4"/>
    <s v="S/"/>
    <n v="330.4"/>
    <n v="0"/>
    <x v="5"/>
    <x v="11"/>
  </r>
  <r>
    <d v="2022-10-31T00:00:00"/>
    <d v="2022-11-30T00:00:00"/>
    <n v="15"/>
    <s v="01-FN05-00000128"/>
    <n v="20468261082"/>
    <s v="LOS SAUCES REPRESENTACIONES S.A.C."/>
    <x v="4"/>
    <s v="S/"/>
    <n v="330.4"/>
    <n v="0"/>
    <x v="5"/>
    <x v="11"/>
  </r>
  <r>
    <d v="2022-10-31T00:00:00"/>
    <d v="2022-11-30T00:00:00"/>
    <n v="15"/>
    <s v="01-FN05-00000127"/>
    <n v="20468261082"/>
    <s v="LOS SAUCES REPRESENTACIONES S.A.C."/>
    <x v="4"/>
    <s v="S/"/>
    <n v="330.4"/>
    <n v="0"/>
    <x v="5"/>
    <x v="11"/>
  </r>
  <r>
    <d v="2022-10-31T00:00:00"/>
    <d v="2022-11-30T00:00:00"/>
    <n v="15"/>
    <s v="01-FN05-00000126"/>
    <n v="20468261082"/>
    <s v="LOS SAUCES REPRESENTACIONES S.A.C."/>
    <x v="4"/>
    <s v="S/"/>
    <n v="330.4"/>
    <n v="0"/>
    <x v="5"/>
    <x v="11"/>
  </r>
  <r>
    <d v="2022-10-31T00:00:00"/>
    <d v="2022-11-30T00:00:00"/>
    <n v="15"/>
    <s v="01-FN05-00000125"/>
    <n v="20468261082"/>
    <s v="LOS SAUCES REPRESENTACIONES S.A.C."/>
    <x v="4"/>
    <s v="S/"/>
    <n v="188.8"/>
    <n v="0"/>
    <x v="5"/>
    <x v="11"/>
  </r>
  <r>
    <d v="2022-10-31T00:00:00"/>
    <d v="2022-11-30T00:00:00"/>
    <n v="15"/>
    <s v="01-FN05-00000124"/>
    <n v="20468261082"/>
    <s v="LOS SAUCES REPRESENTACIONES S.A.C."/>
    <x v="4"/>
    <s v="S/"/>
    <n v="330.4"/>
    <n v="0"/>
    <x v="5"/>
    <x v="11"/>
  </r>
  <r>
    <d v="2022-10-31T00:00:00"/>
    <d v="2022-11-30T00:00:00"/>
    <n v="15"/>
    <s v="01-FN05-00000123"/>
    <n v="20468261082"/>
    <s v="LOS SAUCES REPRESENTACIONES S.A.C."/>
    <x v="4"/>
    <s v="S/"/>
    <n v="330.4"/>
    <n v="0"/>
    <x v="5"/>
    <x v="11"/>
  </r>
  <r>
    <d v="2022-10-31T00:00:00"/>
    <d v="2022-11-30T00:00:00"/>
    <n v="15"/>
    <s v="01-FN05-00000122"/>
    <n v="20468261082"/>
    <s v="LOS SAUCES REPRESENTACIONES S.A.C."/>
    <x v="4"/>
    <s v="S/"/>
    <n v="330.4"/>
    <n v="0"/>
    <x v="5"/>
    <x v="11"/>
  </r>
  <r>
    <d v="2022-11-30T00:00:00"/>
    <d v="2022-11-30T00:00:00"/>
    <n v="15"/>
    <s v="03-BN01-00000217"/>
    <n v="46201144"/>
    <s v="MASCO MAYTA,HAYDEE LUZ"/>
    <x v="3"/>
    <s v="S/"/>
    <n v="1727.94"/>
    <n v="0"/>
    <x v="5"/>
    <x v="11"/>
  </r>
  <r>
    <d v="2022-10-31T00:00:00"/>
    <d v="2022-11-30T00:00:00"/>
    <n v="15"/>
    <s v="01-FN01-00002473"/>
    <n v="20393514630"/>
    <s v="MULTIGRANJAS SERLAN S.A.C."/>
    <x v="2"/>
    <s v="US$"/>
    <n v="0"/>
    <n v="2773"/>
    <x v="5"/>
    <x v="11"/>
  </r>
  <r>
    <d v="2022-10-31T00:00:00"/>
    <d v="2022-11-30T00:00:00"/>
    <n v="15"/>
    <s v="01-FN01-00002484"/>
    <n v="20516083647"/>
    <s v="PONEDORAS S.A.C."/>
    <x v="1"/>
    <s v="US$"/>
    <n v="0"/>
    <n v="2076.8000000000002"/>
    <x v="5"/>
    <x v="11"/>
  </r>
  <r>
    <d v="2022-11-24T00:00:00"/>
    <d v="2022-12-01T00:00:00"/>
    <n v="14"/>
    <s v="01-FN01-00002820"/>
    <n v="20534406496"/>
    <s v="GRANJA AVICOLA REC S.A.C."/>
    <x v="0"/>
    <s v="S/"/>
    <n v="7670"/>
    <n v="0"/>
    <x v="5"/>
    <x v="8"/>
  </r>
  <r>
    <d v="2022-12-02T00:00:00"/>
    <d v="2022-12-02T00:00:00"/>
    <n v="13"/>
    <s v="01-FN01-00002953"/>
    <n v="20601563216"/>
    <s v="AVICOLA QG S.A.C."/>
    <x v="0"/>
    <s v="S/"/>
    <n v="2053.1999999999998"/>
    <n v="0"/>
    <x v="5"/>
    <x v="8"/>
  </r>
  <r>
    <d v="2022-11-02T00:00:00"/>
    <d v="2022-12-02T00:00:00"/>
    <n v="13"/>
    <s v="01-FN01-00002495"/>
    <n v="20132100552"/>
    <s v="AVICOLA YUGOSLAVIA S.A.C."/>
    <x v="5"/>
    <s v="S/"/>
    <n v="1194.75"/>
    <n v="0"/>
    <x v="5"/>
    <x v="8"/>
  </r>
  <r>
    <d v="2022-10-03T00:00:00"/>
    <d v="2022-12-02T00:00:00"/>
    <n v="13"/>
    <s v="01-FN01-00002171"/>
    <n v="20506421781"/>
    <s v="CORPORACION RICO S.A.C."/>
    <x v="3"/>
    <s v="US$"/>
    <n v="0"/>
    <n v="3469.2"/>
    <x v="5"/>
    <x v="8"/>
  </r>
  <r>
    <d v="2022-11-02T00:00:00"/>
    <d v="2022-12-02T00:00:00"/>
    <n v="13"/>
    <s v="01-FN01-00002488"/>
    <n v="20450497950"/>
    <s v="DON POLLO TROPICAL S.A.C."/>
    <x v="2"/>
    <s v="US$"/>
    <n v="0"/>
    <n v="887.07"/>
    <x v="5"/>
    <x v="8"/>
  </r>
  <r>
    <d v="2022-10-03T00:00:00"/>
    <d v="2022-12-02T00:00:00"/>
    <n v="13"/>
    <s v="01-FN01-00002169"/>
    <n v="20155261570"/>
    <s v="GRUPO SANTA ELENA S.A."/>
    <x v="0"/>
    <s v="S/"/>
    <n v="3490.44"/>
    <n v="0"/>
    <x v="5"/>
    <x v="8"/>
  </r>
  <r>
    <d v="2022-11-17T00:00:00"/>
    <d v="2022-12-02T00:00:00"/>
    <n v="13"/>
    <s v="01-FN01-00002731"/>
    <n v="20608319850"/>
    <s v="INDUSTRIA AVICOLA CAYO S.A.C."/>
    <x v="2"/>
    <s v="S/"/>
    <n v="3079.8"/>
    <n v="0"/>
    <x v="5"/>
    <x v="8"/>
  </r>
  <r>
    <d v="2022-11-02T00:00:00"/>
    <d v="2022-12-02T00:00:00"/>
    <n v="13"/>
    <s v="01-FN01-00002505"/>
    <n v="20509902730"/>
    <s v="INVERSIONES AGROPECUARIAS HC SAC"/>
    <x v="1"/>
    <s v="US$"/>
    <n v="0"/>
    <n v="431.53"/>
    <x v="5"/>
    <x v="8"/>
  </r>
  <r>
    <d v="2022-11-25T00:00:00"/>
    <d v="2022-12-02T00:00:00"/>
    <n v="13"/>
    <s v="01-FN01-00002834"/>
    <n v="20606113758"/>
    <s v="INVERSIONES PAMPA REAL S.A.C."/>
    <x v="0"/>
    <s v="S/"/>
    <n v="3610.8"/>
    <n v="0"/>
    <x v="5"/>
    <x v="8"/>
  </r>
  <r>
    <d v="2022-11-02T00:00:00"/>
    <d v="2022-12-02T00:00:00"/>
    <n v="13"/>
    <s v="01-FN01-00002507"/>
    <n v="20606113758"/>
    <s v="INVERSIONES PAMPA REAL S.A.C."/>
    <x v="0"/>
    <s v="S/"/>
    <n v="254.95"/>
    <n v="0"/>
    <x v="5"/>
    <x v="8"/>
  </r>
  <r>
    <d v="2022-11-02T00:00:00"/>
    <d v="2022-12-02T00:00:00"/>
    <n v="13"/>
    <s v="01-FN01-00002492"/>
    <n v="20603019343"/>
    <s v="PROTEIN GROUP S.A.C."/>
    <x v="0"/>
    <s v="S/"/>
    <n v="1026.56"/>
    <n v="0"/>
    <x v="5"/>
    <x v="8"/>
  </r>
  <r>
    <d v="2022-11-03T00:00:00"/>
    <d v="2022-12-03T00:00:00"/>
    <n v="12"/>
    <s v="01-FN01-00002513"/>
    <n v="20600678397"/>
    <s v="AVICOLA DON QUIJOTE EIRL"/>
    <x v="3"/>
    <s v="S/"/>
    <n v="1493.6"/>
    <n v="0"/>
    <x v="5"/>
    <x v="8"/>
  </r>
  <r>
    <d v="2022-10-04T00:00:00"/>
    <d v="2022-12-03T00:00:00"/>
    <n v="12"/>
    <s v="01-FN01-00002207"/>
    <n v="20132373958"/>
    <s v="CHIMU AGROPECUARIA S.A."/>
    <x v="5"/>
    <s v="S/"/>
    <n v="8411.0400000000009"/>
    <n v="0"/>
    <x v="5"/>
    <x v="8"/>
  </r>
  <r>
    <d v="2022-10-04T00:00:00"/>
    <d v="2022-12-03T00:00:00"/>
    <n v="12"/>
    <s v="01-FN01-00002211"/>
    <n v="20155261570"/>
    <s v="GRUPO SANTA ELENA S.A."/>
    <x v="0"/>
    <s v="S/"/>
    <n v="1525.74"/>
    <n v="0"/>
    <x v="5"/>
    <x v="8"/>
  </r>
  <r>
    <d v="2022-11-03T00:00:00"/>
    <d v="2022-12-03T00:00:00"/>
    <n v="12"/>
    <s v="01-FN01-00002524"/>
    <n v="10323803345"/>
    <s v="INFANTE MONTAÑEZ ENMA GUDELIA"/>
    <x v="5"/>
    <s v="US$"/>
    <n v="0"/>
    <n v="177"/>
    <x v="5"/>
    <x v="8"/>
  </r>
  <r>
    <d v="2022-10-04T00:00:00"/>
    <d v="2022-12-03T00:00:00"/>
    <n v="12"/>
    <s v="01-FN01-00002190"/>
    <n v="20468261082"/>
    <s v="LOS SAUCES REPRESENTACIONES S.A.C."/>
    <x v="4"/>
    <s v="S/"/>
    <n v="2190.9299999999998"/>
    <n v="0"/>
    <x v="5"/>
    <x v="8"/>
  </r>
  <r>
    <d v="2022-10-04T00:00:00"/>
    <d v="2022-12-03T00:00:00"/>
    <n v="12"/>
    <s v="01-FN01-00002195"/>
    <n v="20100182263"/>
    <s v="MONTANA S A"/>
    <x v="4"/>
    <s v="US$"/>
    <n v="0"/>
    <n v="3776"/>
    <x v="5"/>
    <x v="8"/>
  </r>
  <r>
    <d v="2022-10-04T00:00:00"/>
    <d v="2022-12-03T00:00:00"/>
    <n v="12"/>
    <s v="01-FN01-00002213"/>
    <n v="20100182263"/>
    <s v="MONTANA S A"/>
    <x v="4"/>
    <s v="S/"/>
    <n v="292.05"/>
    <n v="0"/>
    <x v="5"/>
    <x v="8"/>
  </r>
  <r>
    <d v="2022-10-04T00:00:00"/>
    <d v="2022-12-03T00:00:00"/>
    <n v="12"/>
    <s v="01-FN01-00002209"/>
    <n v="20609609711"/>
    <s v="VILLA ESMERALDA S.A.C."/>
    <x v="0"/>
    <s v="US$"/>
    <n v="0"/>
    <n v="1224.8399999999999"/>
    <x v="5"/>
    <x v="8"/>
  </r>
  <r>
    <d v="2022-10-04T00:00:00"/>
    <d v="2022-12-03T00:00:00"/>
    <n v="12"/>
    <s v="01-FN01-00002208"/>
    <n v="20609609711"/>
    <s v="VILLA ESMERALDA S.A.C."/>
    <x v="0"/>
    <s v="S/"/>
    <n v="9003.4"/>
    <n v="0"/>
    <x v="5"/>
    <x v="8"/>
  </r>
  <r>
    <d v="2022-10-05T00:00:00"/>
    <d v="2022-12-04T00:00:00"/>
    <n v="11"/>
    <s v="01-FN01-00002239"/>
    <n v="20439320126"/>
    <s v="DON POLLO LA LIBERTAD SAC"/>
    <x v="5"/>
    <s v="US$"/>
    <n v="0"/>
    <n v="343.38"/>
    <x v="5"/>
    <x v="8"/>
  </r>
  <r>
    <d v="2022-10-05T00:00:00"/>
    <d v="2022-12-04T00:00:00"/>
    <n v="11"/>
    <s v="01-FN01-00002238"/>
    <n v="20439320126"/>
    <s v="DON POLLO LA LIBERTAD SAC"/>
    <x v="5"/>
    <s v="US$"/>
    <n v="0"/>
    <n v="543.69000000000005"/>
    <x v="5"/>
    <x v="8"/>
  </r>
  <r>
    <d v="2022-10-05T00:00:00"/>
    <d v="2022-12-04T00:00:00"/>
    <n v="11"/>
    <s v="01-FN01-00002237"/>
    <n v="20439320126"/>
    <s v="DON POLLO LA LIBERTAD SAC"/>
    <x v="5"/>
    <s v="US$"/>
    <n v="0"/>
    <n v="743.99"/>
    <x v="5"/>
    <x v="8"/>
  </r>
  <r>
    <d v="2022-10-20T00:00:00"/>
    <d v="2022-12-04T00:00:00"/>
    <n v="11"/>
    <s v="01-FN01-00002310"/>
    <n v="20534406496"/>
    <s v="GRANJA AVICOLA REC S.A.C."/>
    <x v="0"/>
    <s v="S/"/>
    <n v="15478.3"/>
    <n v="0"/>
    <x v="5"/>
    <x v="8"/>
  </r>
  <r>
    <d v="2022-11-04T00:00:00"/>
    <d v="2022-12-04T00:00:00"/>
    <n v="11"/>
    <s v="01-FN01-00002532"/>
    <n v="20534627310"/>
    <s v="INVERSIONES AGROINDUSTRIALES ANCALU S.A.C."/>
    <x v="0"/>
    <s v="S/"/>
    <n v="3266.24"/>
    <n v="0"/>
    <x v="5"/>
    <x v="8"/>
  </r>
  <r>
    <d v="2022-11-04T00:00:00"/>
    <d v="2022-12-04T00:00:00"/>
    <n v="11"/>
    <s v="01-FN01-00002530"/>
    <n v="20393514630"/>
    <s v="MULTIGRANJAS SERLAN S.A.C."/>
    <x v="2"/>
    <s v="S/"/>
    <n v="3756.53"/>
    <n v="0"/>
    <x v="5"/>
    <x v="8"/>
  </r>
  <r>
    <d v="2022-10-06T00:00:00"/>
    <d v="2022-12-05T00:00:00"/>
    <n v="10"/>
    <s v="01-FN01-00002246"/>
    <n v="20320731314"/>
    <s v="AGROPECUARIA DOÑA SILVIA S.R.L."/>
    <x v="1"/>
    <s v="US$"/>
    <n v="0"/>
    <n v="8146.72"/>
    <x v="5"/>
    <x v="8"/>
  </r>
  <r>
    <d v="2022-10-06T00:00:00"/>
    <d v="2022-12-05T00:00:00"/>
    <n v="10"/>
    <s v="01-FN01-00002241"/>
    <n v="20132292109"/>
    <s v="AGROPECUARIA SAN MIGUEL S.R.L."/>
    <x v="5"/>
    <s v="US$"/>
    <n v="0"/>
    <n v="737.21"/>
    <x v="5"/>
    <x v="8"/>
  </r>
  <r>
    <d v="2022-12-05T00:00:00"/>
    <d v="2022-12-05T00:00:00"/>
    <n v="10"/>
    <s v="01-FN01-00002998"/>
    <n v="10218367041"/>
    <s v="AURIS PARIONA HONORATO PEDRO"/>
    <x v="0"/>
    <s v="S/"/>
    <n v="3171.76"/>
    <n v="0"/>
    <x v="5"/>
    <x v="8"/>
  </r>
  <r>
    <d v="2022-12-05T00:00:00"/>
    <d v="2022-12-05T00:00:00"/>
    <n v="10"/>
    <s v="01-FN01-00002977"/>
    <n v="20609023024"/>
    <s v="CORPORACION CASUL S.A.C."/>
    <x v="1"/>
    <s v="US$"/>
    <n v="0"/>
    <n v="74.34"/>
    <x v="5"/>
    <x v="8"/>
  </r>
  <r>
    <d v="2022-12-05T00:00:00"/>
    <d v="2022-12-05T00:00:00"/>
    <n v="10"/>
    <s v="01-FN01-00002997"/>
    <n v="20607970352"/>
    <s v="MULTICARNES ANTONIO ICA S.R.L."/>
    <x v="0"/>
    <s v="S/"/>
    <n v="2727.57"/>
    <n v="0"/>
    <x v="5"/>
    <x v="8"/>
  </r>
  <r>
    <d v="2022-08-07T00:00:00"/>
    <d v="2022-12-05T00:00:00"/>
    <n v="10"/>
    <s v="01-FN01-00001539"/>
    <n v="20100154308"/>
    <s v="SAN FERNANDO S.A."/>
    <x v="1"/>
    <s v="S/"/>
    <n v="11541.58"/>
    <n v="0"/>
    <x v="5"/>
    <x v="8"/>
  </r>
  <r>
    <d v="2022-12-06T00:00:00"/>
    <d v="2022-12-06T00:00:00"/>
    <n v="9"/>
    <s v="01-FN01-00003004"/>
    <n v="20609553783"/>
    <s v="AVICOLA LOW PRICE E.I.R.L"/>
    <x v="0"/>
    <s v="US$"/>
    <n v="0"/>
    <n v="140.13"/>
    <x v="5"/>
    <x v="8"/>
  </r>
  <r>
    <d v="2022-12-06T00:00:00"/>
    <d v="2022-12-06T00:00:00"/>
    <n v="9"/>
    <s v="01-FN01-00003016"/>
    <n v="20607097411"/>
    <s v="GRANJA LAS ISLAS E.I.R.L."/>
    <x v="0"/>
    <s v="S/"/>
    <n v="6844"/>
    <n v="0"/>
    <x v="5"/>
    <x v="8"/>
  </r>
  <r>
    <d v="2022-12-06T00:00:00"/>
    <d v="2022-12-06T00:00:00"/>
    <n v="9"/>
    <s v="01-FN01-00003014"/>
    <n v="20494089867"/>
    <s v="GRANJA PUKA HUALLPA S.R.L."/>
    <x v="2"/>
    <s v="S/"/>
    <n v="4351.25"/>
    <n v="0"/>
    <x v="5"/>
    <x v="8"/>
  </r>
  <r>
    <d v="2022-12-06T00:00:00"/>
    <d v="2022-12-06T00:00:00"/>
    <n v="9"/>
    <s v="01-FN05-00000168"/>
    <n v="20565525531"/>
    <s v="PESCADOS Y CEFALOPODOS DEL PERU SOCIEDAD ANONIMA CERRADA"/>
    <x v="4"/>
    <s v="US$"/>
    <n v="0"/>
    <n v="5900"/>
    <x v="5"/>
    <x v="8"/>
  </r>
  <r>
    <d v="2022-11-07T00:00:00"/>
    <d v="2022-12-07T00:00:00"/>
    <n v="8"/>
    <s v="01-FN01-00002579"/>
    <n v="20482076425"/>
    <s v="AGROPECUARIA ALEXIM S.A.C."/>
    <x v="5"/>
    <s v="S/"/>
    <n v="495.6"/>
    <n v="0"/>
    <x v="5"/>
    <x v="8"/>
  </r>
  <r>
    <d v="2022-11-07T00:00:00"/>
    <d v="2022-12-07T00:00:00"/>
    <n v="8"/>
    <s v="01-FN01-00002559"/>
    <n v="20320731314"/>
    <s v="AGROPECUARIA DOÑA SILVIA S.R.L."/>
    <x v="1"/>
    <s v="US$"/>
    <n v="0"/>
    <n v="8477.1200000000008"/>
    <x v="5"/>
    <x v="8"/>
  </r>
  <r>
    <d v="2022-11-07T00:00:00"/>
    <d v="2022-12-07T00:00:00"/>
    <n v="8"/>
    <s v="01-FN01-00002571"/>
    <n v="20132100552"/>
    <s v="AVICOLA YUGOSLAVIA S.A.C."/>
    <x v="5"/>
    <s v="US$"/>
    <n v="0"/>
    <n v="2003.99"/>
    <x v="5"/>
    <x v="8"/>
  </r>
  <r>
    <d v="2022-11-07T00:00:00"/>
    <d v="2022-12-07T00:00:00"/>
    <n v="8"/>
    <s v="01-FN01-00002572"/>
    <n v="20132100552"/>
    <s v="AVICOLA YUGOSLAVIA S.A.C."/>
    <x v="5"/>
    <s v="US$"/>
    <n v="0"/>
    <n v="2721.08"/>
    <x v="5"/>
    <x v="8"/>
  </r>
  <r>
    <d v="2022-12-07T00:00:00"/>
    <d v="2022-12-07T00:00:00"/>
    <n v="8"/>
    <s v="01-FN01-00003024"/>
    <n v="20392847155"/>
    <s v="CORPORACION AGROINDUSTRIAL SAN BERNARDO S.A.C."/>
    <x v="1"/>
    <s v="US$"/>
    <n v="0"/>
    <n v="376.42"/>
    <x v="5"/>
    <x v="8"/>
  </r>
  <r>
    <d v="2022-11-07T00:00:00"/>
    <d v="2022-12-07T00:00:00"/>
    <n v="8"/>
    <s v="01-FN01-00002544"/>
    <n v="20467089464"/>
    <s v="FUMINSUMOS S.R.L."/>
    <x v="4"/>
    <s v="US$"/>
    <n v="0"/>
    <n v="708"/>
    <x v="5"/>
    <x v="8"/>
  </r>
  <r>
    <d v="2022-11-30T00:00:00"/>
    <d v="2022-12-07T00:00:00"/>
    <n v="8"/>
    <s v="01-FN01-00002923"/>
    <n v="20534406496"/>
    <s v="GRANJA AVICOLA REC S.A.C."/>
    <x v="0"/>
    <s v="S/"/>
    <n v="7670"/>
    <n v="0"/>
    <x v="5"/>
    <x v="8"/>
  </r>
  <r>
    <d v="2022-12-07T00:00:00"/>
    <d v="2022-12-07T00:00:00"/>
    <n v="8"/>
    <s v="01-FN01-00003023"/>
    <n v="20534979003"/>
    <s v="GRANJA AVICOLA VANIA E.I.R.L."/>
    <x v="0"/>
    <s v="S/"/>
    <n v="4790.8"/>
    <n v="0"/>
    <x v="5"/>
    <x v="8"/>
  </r>
  <r>
    <d v="2022-11-07T00:00:00"/>
    <d v="2022-12-07T00:00:00"/>
    <n v="8"/>
    <s v="01-FN01-00002563"/>
    <n v="20600450329"/>
    <s v="INVERSIONES AVIPECUARIAS LA YEMA DE ORO E.I.R.L."/>
    <x v="0"/>
    <s v="S/"/>
    <n v="8043.03"/>
    <n v="0"/>
    <x v="5"/>
    <x v="8"/>
  </r>
  <r>
    <d v="2022-11-07T00:00:00"/>
    <d v="2022-12-07T00:00:00"/>
    <n v="8"/>
    <s v="01-FN01-00002556"/>
    <n v="20601433584"/>
    <s v="INVET PERU E.I.R.L."/>
    <x v="5"/>
    <s v="US$"/>
    <n v="0"/>
    <n v="308.69"/>
    <x v="5"/>
    <x v="8"/>
  </r>
  <r>
    <d v="2022-11-07T00:00:00"/>
    <d v="2022-12-07T00:00:00"/>
    <n v="8"/>
    <s v="01-FN01-00002545"/>
    <n v="10429225413"/>
    <s v="MASHCO HUERTA JUAN CARLOS"/>
    <x v="1"/>
    <s v="S/"/>
    <n v="561"/>
    <n v="0"/>
    <x v="5"/>
    <x v="8"/>
  </r>
  <r>
    <d v="2022-08-09T00:00:00"/>
    <d v="2022-12-07T00:00:00"/>
    <n v="8"/>
    <s v="01-FN01-00001565"/>
    <n v="20100154308"/>
    <s v="SAN FERNANDO S.A."/>
    <x v="1"/>
    <s v="S/"/>
    <n v="10358.040000000001"/>
    <n v="0"/>
    <x v="5"/>
    <x v="8"/>
  </r>
  <r>
    <d v="2022-11-08T00:00:00"/>
    <d v="2022-12-08T00:00:00"/>
    <n v="7"/>
    <s v="01-FN01-00002585"/>
    <n v="20540079227"/>
    <s v="AGROPECUARIA AVIPORC S.A.C."/>
    <x v="5"/>
    <s v="S/"/>
    <n v="951.65"/>
    <n v="0"/>
    <x v="5"/>
    <x v="8"/>
  </r>
  <r>
    <d v="2022-11-08T00:00:00"/>
    <d v="2022-12-08T00:00:00"/>
    <n v="7"/>
    <s v="01-FN01-00002590"/>
    <n v="20605834354"/>
    <s v="ANIMAL MARKET PERU S.A.C."/>
    <x v="0"/>
    <s v="US$"/>
    <n v="0"/>
    <n v="945.18"/>
    <x v="5"/>
    <x v="8"/>
  </r>
  <r>
    <d v="2022-11-08T00:00:00"/>
    <d v="2022-12-08T00:00:00"/>
    <n v="7"/>
    <s v="01-FN01-00002589"/>
    <n v="20533031707"/>
    <s v="INTEGRACION AMALIA SOCIEDAD ANONIMA CERRADA - INTEGRACION AMALIA S.A.C."/>
    <x v="3"/>
    <s v="S/"/>
    <n v="245.49"/>
    <n v="0"/>
    <x v="5"/>
    <x v="8"/>
  </r>
  <r>
    <d v="2022-08-10T00:00:00"/>
    <d v="2022-12-08T00:00:00"/>
    <n v="7"/>
    <s v="01-FN01-00001589"/>
    <n v="20100154308"/>
    <s v="SAN FERNANDO S.A."/>
    <x v="1"/>
    <s v="S/"/>
    <n v="247.8"/>
    <n v="0"/>
    <x v="5"/>
    <x v="8"/>
  </r>
  <r>
    <d v="2022-11-09T00:00:00"/>
    <d v="2022-12-09T00:00:00"/>
    <n v="6"/>
    <s v="01-FN01-00002617"/>
    <n v="20104508023"/>
    <s v="AGROPECUARIA RIO BRAVO HNOS S.A.C."/>
    <x v="0"/>
    <s v="S/"/>
    <n v="12410.65"/>
    <n v="0"/>
    <x v="5"/>
    <x v="8"/>
  </r>
  <r>
    <d v="2022-11-09T00:00:00"/>
    <d v="2022-12-09T00:00:00"/>
    <n v="6"/>
    <s v="01-FN01-00002624"/>
    <n v="20104508023"/>
    <s v="AGROPECUARIA RIO BRAVO HNOS S.A.C."/>
    <x v="0"/>
    <s v="S/"/>
    <n v="2860.13"/>
    <n v="0"/>
    <x v="5"/>
    <x v="8"/>
  </r>
  <r>
    <d v="2022-10-10T00:00:00"/>
    <d v="2022-12-09T00:00:00"/>
    <n v="6"/>
    <s v="01-E001-00000593"/>
    <n v="20132292109"/>
    <s v="AGROPECUARIA SAN MIGUEL S.R.L."/>
    <x v="5"/>
    <s v="US$"/>
    <n v="0"/>
    <n v="105.32"/>
    <x v="5"/>
    <x v="8"/>
  </r>
  <r>
    <d v="2022-10-10T00:00:00"/>
    <d v="2022-12-09T00:00:00"/>
    <n v="6"/>
    <s v="01-E001-00000580"/>
    <n v="20132373958"/>
    <s v="CHIMU AGROPECUARIA S.A."/>
    <x v="5"/>
    <s v="S/"/>
    <n v="1758.2"/>
    <n v="0"/>
    <x v="5"/>
    <x v="8"/>
  </r>
  <r>
    <d v="2022-10-10T00:00:00"/>
    <d v="2022-12-09T00:00:00"/>
    <n v="6"/>
    <s v="01-E001-00000575"/>
    <n v="20506421781"/>
    <s v="CORPORACION RICO S.A.C."/>
    <x v="3"/>
    <s v="US$"/>
    <n v="0"/>
    <n v="4394.32"/>
    <x v="5"/>
    <x v="8"/>
  </r>
  <r>
    <d v="2022-10-10T00:00:00"/>
    <d v="2022-12-09T00:00:00"/>
    <n v="6"/>
    <s v="01-E001-00000589"/>
    <n v="20494022797"/>
    <s v="DEMETRIOS CHICKEN S.A.C"/>
    <x v="2"/>
    <s v="S/"/>
    <n v="15469.53"/>
    <n v="0"/>
    <x v="5"/>
    <x v="8"/>
  </r>
  <r>
    <d v="2022-10-25T00:00:00"/>
    <d v="2022-12-09T00:00:00"/>
    <n v="6"/>
    <s v="01-FN01-00002411"/>
    <n v="20534406496"/>
    <s v="GRANJA AVICOLA REC S.A.C."/>
    <x v="0"/>
    <s v="S/"/>
    <n v="1604.8"/>
    <n v="0"/>
    <x v="5"/>
    <x v="8"/>
  </r>
  <r>
    <d v="2022-11-09T00:00:00"/>
    <d v="2022-12-09T00:00:00"/>
    <n v="6"/>
    <s v="01-FN01-00002623"/>
    <n v="20479862738"/>
    <s v="INVERAGRO SAN MARTIN DE PORRAS S.A.C."/>
    <x v="2"/>
    <s v="US$"/>
    <n v="0"/>
    <n v="1461.31"/>
    <x v="5"/>
    <x v="8"/>
  </r>
  <r>
    <d v="2022-12-02T00:00:00"/>
    <d v="2022-12-09T00:00:00"/>
    <n v="6"/>
    <s v="01-FN01-00002949"/>
    <n v="20606113758"/>
    <s v="INVERSIONES PAMPA REAL S.A.C."/>
    <x v="0"/>
    <s v="S/"/>
    <n v="3729.74"/>
    <n v="0"/>
    <x v="5"/>
    <x v="8"/>
  </r>
  <r>
    <d v="2022-10-10T00:00:00"/>
    <d v="2022-12-09T00:00:00"/>
    <n v="6"/>
    <s v="01-E001-00000574"/>
    <n v="20600728688"/>
    <s v="PECUARIA SAN FRANCISCO S.A.C."/>
    <x v="0"/>
    <s v="S/"/>
    <n v="1076.3"/>
    <n v="0"/>
    <x v="5"/>
    <x v="8"/>
  </r>
  <r>
    <d v="2022-10-10T00:00:00"/>
    <d v="2022-12-09T00:00:00"/>
    <n v="6"/>
    <s v="01-E001-00000586"/>
    <n v="20221084684"/>
    <s v="REDONDOS S A"/>
    <x v="1"/>
    <s v="S/"/>
    <n v="226560"/>
    <n v="0"/>
    <x v="5"/>
    <x v="8"/>
  </r>
  <r>
    <d v="2022-10-10T00:00:00"/>
    <d v="2022-12-09T00:00:00"/>
    <n v="6"/>
    <s v="01-E001-00000591"/>
    <n v="20221084684"/>
    <s v="REDONDOS S A"/>
    <x v="1"/>
    <s v="US$"/>
    <n v="0"/>
    <n v="155.76"/>
    <x v="5"/>
    <x v="8"/>
  </r>
  <r>
    <d v="2022-10-10T00:00:00"/>
    <d v="2022-12-09T00:00:00"/>
    <n v="6"/>
    <s v="01-E001-00000583"/>
    <n v="20221084684"/>
    <s v="REDONDOS S A"/>
    <x v="1"/>
    <s v="US$"/>
    <n v="0"/>
    <n v="1203.5999999999999"/>
    <x v="5"/>
    <x v="8"/>
  </r>
  <r>
    <d v="2022-11-25T00:00:00"/>
    <d v="2022-12-10T00:00:00"/>
    <n v="5"/>
    <s v="01-FN05-00000143"/>
    <n v="20307167442"/>
    <s v="COMISION DE PROMOCION DEL PERU PARA LA EXPORTACION Y EL TURISMO - PROMPERU"/>
    <x v="4"/>
    <s v="S/"/>
    <n v="9900"/>
    <n v="0"/>
    <x v="5"/>
    <x v="8"/>
  </r>
  <r>
    <d v="2022-10-11T00:00:00"/>
    <d v="2022-12-10T00:00:00"/>
    <n v="5"/>
    <s v="01-FN01-00002257"/>
    <n v="20439320126"/>
    <s v="DON POLLO LA LIBERTAD SAC"/>
    <x v="5"/>
    <s v="US$"/>
    <n v="0"/>
    <n v="743.99"/>
    <x v="5"/>
    <x v="8"/>
  </r>
  <r>
    <d v="2022-11-10T00:00:00"/>
    <d v="2022-12-10T00:00:00"/>
    <n v="5"/>
    <s v="01-FN01-00002633"/>
    <n v="10429225413"/>
    <s v="MASHCO HUERTA JUAN CARLOS"/>
    <x v="1"/>
    <s v="US$"/>
    <n v="0"/>
    <n v="310.33999999999997"/>
    <x v="5"/>
    <x v="8"/>
  </r>
  <r>
    <d v="2022-11-10T00:00:00"/>
    <d v="2022-12-10T00:00:00"/>
    <n v="5"/>
    <s v="01-FN01-00002626"/>
    <n v="20393514630"/>
    <s v="MULTIGRANJAS SERLAN S.A.C."/>
    <x v="2"/>
    <s v="S/"/>
    <n v="6529.53"/>
    <n v="0"/>
    <x v="5"/>
    <x v="8"/>
  </r>
  <r>
    <d v="2022-11-10T00:00:00"/>
    <d v="2022-12-10T00:00:00"/>
    <n v="5"/>
    <s v="01-FN01-00002631"/>
    <n v="20481460159"/>
    <s v="NOVAFARMA S.A.C."/>
    <x v="5"/>
    <s v="S/"/>
    <n v="1212.6199999999999"/>
    <n v="0"/>
    <x v="5"/>
    <x v="8"/>
  </r>
  <r>
    <d v="2022-11-10T00:00:00"/>
    <d v="2022-12-10T00:00:00"/>
    <n v="5"/>
    <s v="01-FN01-00002632"/>
    <n v="20481460159"/>
    <s v="NOVAFARMA S.A.C."/>
    <x v="5"/>
    <s v="US$"/>
    <n v="0"/>
    <n v="113.28"/>
    <x v="5"/>
    <x v="8"/>
  </r>
  <r>
    <d v="2022-11-10T00:00:00"/>
    <d v="2022-12-10T00:00:00"/>
    <n v="5"/>
    <s v="01-FN01-00002629"/>
    <n v="20440324224"/>
    <s v="PRODUCTOS AVICOLAS CHICAMA S.A.C."/>
    <x v="5"/>
    <s v="S/"/>
    <n v="3079.8"/>
    <n v="0"/>
    <x v="5"/>
    <x v="8"/>
  </r>
  <r>
    <d v="2022-10-12T00:00:00"/>
    <d v="2022-12-11T00:00:00"/>
    <n v="4"/>
    <s v="01-FN01-00002264"/>
    <n v="20132373958"/>
    <s v="CHIMU AGROPECUARIA S.A."/>
    <x v="5"/>
    <s v="S/"/>
    <n v="7359.66"/>
    <n v="0"/>
    <x v="5"/>
    <x v="8"/>
  </r>
  <r>
    <d v="2022-10-12T00:00:00"/>
    <d v="2022-12-11T00:00:00"/>
    <n v="4"/>
    <s v="01-FN01-00002285"/>
    <n v="20450497950"/>
    <s v="DON POLLO TROPICAL S.A.C."/>
    <x v="2"/>
    <s v="US$"/>
    <n v="0"/>
    <n v="2689.81"/>
    <x v="5"/>
    <x v="8"/>
  </r>
  <r>
    <d v="2022-11-11T00:00:00"/>
    <d v="2022-12-11T00:00:00"/>
    <n v="4"/>
    <s v="01-FN01-00002643"/>
    <n v="20193112791"/>
    <s v="INTEGRACION LUZ S.C.R.L."/>
    <x v="3"/>
    <s v="S/"/>
    <n v="3079.8"/>
    <n v="0"/>
    <x v="5"/>
    <x v="8"/>
  </r>
  <r>
    <d v="2022-11-11T00:00:00"/>
    <d v="2022-12-11T00:00:00"/>
    <n v="4"/>
    <s v="01-FN01-00002656"/>
    <n v="20193112791"/>
    <s v="INTEGRACION LUZ S.C.R.L."/>
    <x v="3"/>
    <s v="S/"/>
    <n v="753.78"/>
    <n v="0"/>
    <x v="5"/>
    <x v="8"/>
  </r>
  <r>
    <d v="2022-11-11T00:00:00"/>
    <d v="2022-12-11T00:00:00"/>
    <n v="4"/>
    <s v="01-FN01-00002659"/>
    <n v="20534627310"/>
    <s v="INVERSIONES AGROINDUSTRIALES ANCALU S.A.C."/>
    <x v="0"/>
    <s v="S/"/>
    <n v="2075.62"/>
    <n v="0"/>
    <x v="5"/>
    <x v="8"/>
  </r>
  <r>
    <d v="2022-10-12T00:00:00"/>
    <d v="2022-12-11T00:00:00"/>
    <n v="4"/>
    <s v="01-FN01-00002266"/>
    <n v="20609609711"/>
    <s v="VILLA ESMERALDA S.A.C."/>
    <x v="0"/>
    <s v="S/"/>
    <n v="3079.8"/>
    <n v="0"/>
    <x v="5"/>
    <x v="8"/>
  </r>
  <r>
    <d v="2022-10-13T00:00:00"/>
    <d v="2022-12-12T00:00:00"/>
    <n v="3"/>
    <s v="01-FN01-00002298"/>
    <n v="20320731314"/>
    <s v="AGROPECUARIA DOÑA SILVIA S.R.L."/>
    <x v="1"/>
    <s v="US$"/>
    <n v="0"/>
    <n v="8477.1200000000008"/>
    <x v="5"/>
    <x v="8"/>
  </r>
  <r>
    <d v="2022-12-12T00:00:00"/>
    <d v="2022-12-12T00:00:00"/>
    <n v="3"/>
    <s v="01-E001-00000680"/>
    <n v="20609553783"/>
    <s v="AVICOLA LOW PRICE E.I.R.L"/>
    <x v="0"/>
    <s v="US$"/>
    <n v="0"/>
    <n v="952.85"/>
    <x v="5"/>
    <x v="8"/>
  </r>
  <r>
    <d v="2022-12-12T00:00:00"/>
    <d v="2022-12-12T00:00:00"/>
    <n v="3"/>
    <s v="01-E001-00000679"/>
    <n v="20609553783"/>
    <s v="AVICOLA LOW PRICE E.I.R.L"/>
    <x v="0"/>
    <s v="S/"/>
    <n v="1935.2"/>
    <n v="0"/>
    <x v="5"/>
    <x v="8"/>
  </r>
  <r>
    <d v="2022-12-12T00:00:00"/>
    <d v="2022-12-12T00:00:00"/>
    <n v="3"/>
    <s v="01-E001-00000658"/>
    <n v="20605170375"/>
    <s v="AVICOLA SOFI E.I.R.L."/>
    <x v="3"/>
    <s v="S/"/>
    <n v="5643.7"/>
    <n v="0"/>
    <x v="5"/>
    <x v="8"/>
  </r>
  <r>
    <d v="2022-10-13T00:00:00"/>
    <d v="2022-12-12T00:00:00"/>
    <n v="3"/>
    <s v="01-FN01-00002306"/>
    <n v="20506421781"/>
    <s v="CORPORACION RICO S.A.C."/>
    <x v="3"/>
    <s v="US$"/>
    <n v="0"/>
    <n v="144.18"/>
    <x v="5"/>
    <x v="8"/>
  </r>
  <r>
    <d v="2022-12-12T00:00:00"/>
    <d v="2022-12-12T00:00:00"/>
    <n v="3"/>
    <s v="01-E001-00000659"/>
    <n v="20607473235"/>
    <s v="DISTRIBUCIONES Y ALIMENTOS BALANCEADOS J CARRASCO Y BLANCA LUZ S.A.C."/>
    <x v="3"/>
    <s v="S/"/>
    <n v="1635.86"/>
    <n v="0"/>
    <x v="5"/>
    <x v="8"/>
  </r>
  <r>
    <d v="2022-12-12T00:00:00"/>
    <d v="2022-12-12T00:00:00"/>
    <n v="3"/>
    <s v="01-E001-00000675"/>
    <n v="20534627310"/>
    <s v="INVERSIONES AGROINDUSTRIALES ANCALU S.A.C."/>
    <x v="0"/>
    <s v="S/"/>
    <n v="3375.98"/>
    <n v="0"/>
    <x v="5"/>
    <x v="8"/>
  </r>
  <r>
    <d v="2022-12-12T00:00:00"/>
    <d v="2022-12-12T00:00:00"/>
    <n v="3"/>
    <s v="03-EB01-00000043"/>
    <n v="46590017"/>
    <s v="MALCA VASQUEZ ,JORGE LUIS"/>
    <x v="1"/>
    <s v="US$"/>
    <n v="0"/>
    <n v="560.5"/>
    <x v="5"/>
    <x v="8"/>
  </r>
  <r>
    <d v="2022-12-12T00:00:00"/>
    <d v="2022-12-12T00:00:00"/>
    <n v="3"/>
    <s v="03-EB01-00000045"/>
    <n v="46590017"/>
    <s v="MALCA VASQUEZ ,JORGE LUIS"/>
    <x v="1"/>
    <s v="US$"/>
    <n v="0"/>
    <n v="448.4"/>
    <x v="5"/>
    <x v="8"/>
  </r>
  <r>
    <d v="2022-12-12T00:00:00"/>
    <d v="2022-12-12T00:00:00"/>
    <n v="3"/>
    <s v="01-E001-00000652"/>
    <n v="20603450265"/>
    <s v="NUTRISERVICIOS LUAVET E.I.R.L."/>
    <x v="3"/>
    <s v="US$"/>
    <n v="0"/>
    <n v="163.12"/>
    <x v="5"/>
    <x v="8"/>
  </r>
  <r>
    <d v="2022-12-12T00:00:00"/>
    <d v="2022-12-12T00:00:00"/>
    <n v="3"/>
    <s v="03-EB01-00000044"/>
    <n v="8440548"/>
    <s v="SANTOS HUAMAN BENEDICTA SOFIA"/>
    <x v="1"/>
    <s v="US$"/>
    <n v="0"/>
    <n v="76.7"/>
    <x v="5"/>
    <x v="8"/>
  </r>
  <r>
    <d v="2022-12-13T00:00:00"/>
    <d v="2022-12-13T00:00:00"/>
    <n v="2"/>
    <s v="01-E001-00000663"/>
    <n v="20541266209"/>
    <s v="AGROPECUARIA JYR E.I.R.L."/>
    <x v="2"/>
    <s v="S/"/>
    <n v="6197.48"/>
    <n v="0"/>
    <x v="5"/>
    <x v="8"/>
  </r>
  <r>
    <d v="2022-12-13T00:00:00"/>
    <d v="2022-12-13T00:00:00"/>
    <n v="2"/>
    <s v="01-E001-00000690"/>
    <n v="20609209136"/>
    <s v="AVICOLA DOS LEONES S.A.C."/>
    <x v="0"/>
    <s v="S/"/>
    <n v="2684.5"/>
    <n v="0"/>
    <x v="5"/>
    <x v="8"/>
  </r>
  <r>
    <d v="2022-12-13T00:00:00"/>
    <d v="2022-12-13T00:00:00"/>
    <n v="2"/>
    <s v="01-E001-00000668"/>
    <n v="20479436470"/>
    <s v="GANADERA EL MILAGRO S.A.C."/>
    <x v="5"/>
    <s v="S/"/>
    <n v="272.98"/>
    <n v="0"/>
    <x v="5"/>
    <x v="8"/>
  </r>
  <r>
    <d v="2022-12-13T00:00:00"/>
    <d v="2022-12-13T00:00:00"/>
    <n v="2"/>
    <s v="01-E001-00000685"/>
    <n v="20534979003"/>
    <s v="GRANJA AVICOLA VANIA E.I.R.L."/>
    <x v="0"/>
    <s v="S/"/>
    <n v="10266"/>
    <n v="0"/>
    <x v="5"/>
    <x v="8"/>
  </r>
  <r>
    <d v="2022-12-13T00:00:00"/>
    <d v="2022-12-13T00:00:00"/>
    <n v="2"/>
    <s v="01-E001-00000682"/>
    <n v="20452351227"/>
    <s v="NEGOCIACION AVICOLA BEATA MELCHORITA S.R.L."/>
    <x v="0"/>
    <s v="US$"/>
    <n v="0"/>
    <n v="291.91000000000003"/>
    <x v="5"/>
    <x v="8"/>
  </r>
  <r>
    <d v="2022-12-14T00:00:00"/>
    <d v="2022-12-14T00:00:00"/>
    <n v="1"/>
    <s v="01-E001-00000716"/>
    <n v="20482097007"/>
    <s v="AGROPECUARIA SANTO DOMINGO S.A.C."/>
    <x v="5"/>
    <s v="S/"/>
    <n v="26107.5"/>
    <n v="0"/>
    <x v="5"/>
    <x v="8"/>
  </r>
  <r>
    <d v="2022-12-14T00:00:00"/>
    <d v="2022-12-14T00:00:00"/>
    <n v="1"/>
    <s v="01-E001-00000697"/>
    <n v="20531557311"/>
    <s v="AGROPECUARIA V &amp; F SAC"/>
    <x v="2"/>
    <s v="S/"/>
    <n v="17590.41"/>
    <n v="0"/>
    <x v="5"/>
    <x v="8"/>
  </r>
  <r>
    <d v="2022-12-14T00:00:00"/>
    <d v="2022-12-14T00:00:00"/>
    <n v="1"/>
    <s v="01-E001-00000702"/>
    <n v="20609301121"/>
    <s v="AVICOLA LAS PIEDRITAS S.A.C."/>
    <x v="1"/>
    <s v="S/"/>
    <n v="14868"/>
    <n v="0"/>
    <x v="5"/>
    <x v="8"/>
  </r>
  <r>
    <d v="2022-11-14T00:00:00"/>
    <d v="2022-12-14T00:00:00"/>
    <n v="1"/>
    <s v="01-FN01-00002671"/>
    <n v="20132100552"/>
    <s v="AVICOLA YUGOSLAVIA S.A.C."/>
    <x v="5"/>
    <s v="US$"/>
    <n v="0"/>
    <n v="191.75"/>
    <x v="5"/>
    <x v="8"/>
  </r>
  <r>
    <d v="2022-12-14T00:00:00"/>
    <d v="2022-12-14T00:00:00"/>
    <n v="1"/>
    <s v="01-E001-00000699"/>
    <n v="20392847155"/>
    <s v="CORPORACION AGROINDUSTRIAL SAN BERNARDO S.A.C."/>
    <x v="1"/>
    <s v="US$"/>
    <n v="0"/>
    <n v="682.34"/>
    <x v="5"/>
    <x v="8"/>
  </r>
  <r>
    <d v="2022-12-14T00:00:00"/>
    <d v="2022-12-14T00:00:00"/>
    <n v="1"/>
    <s v="01-E001-00000710"/>
    <n v="20502212533"/>
    <s v="CORPORACION AYGUT S.A."/>
    <x v="1"/>
    <s v="S/"/>
    <n v="572.03"/>
    <n v="0"/>
    <x v="5"/>
    <x v="8"/>
  </r>
  <r>
    <d v="2022-12-07T00:00:00"/>
    <d v="2022-12-14T00:00:00"/>
    <n v="1"/>
    <s v="01-FN01-00003033"/>
    <n v="20534406496"/>
    <s v="GRANJA AVICOLA REC S.A.C."/>
    <x v="0"/>
    <s v="S/"/>
    <n v="6962"/>
    <n v="0"/>
    <x v="5"/>
    <x v="8"/>
  </r>
  <r>
    <d v="2022-12-14T00:00:00"/>
    <d v="2022-12-14T00:00:00"/>
    <n v="1"/>
    <s v="01-E001-00000715"/>
    <n v="20534979003"/>
    <s v="GRANJA AVICOLA VANIA E.I.R.L."/>
    <x v="0"/>
    <s v="S/"/>
    <n v="2053.1999999999998"/>
    <n v="0"/>
    <x v="5"/>
    <x v="8"/>
  </r>
  <r>
    <d v="2022-12-14T00:00:00"/>
    <d v="2022-12-14T00:00:00"/>
    <n v="1"/>
    <s v="01-E001-00000712"/>
    <n v="20605405968"/>
    <s v="GRUPO MILKAM S.A.C."/>
    <x v="0"/>
    <s v="S/"/>
    <n v="1342.25"/>
    <n v="0"/>
    <x v="5"/>
    <x v="8"/>
  </r>
  <r>
    <d v="2022-12-14T00:00:00"/>
    <d v="2022-12-14T00:00:00"/>
    <n v="1"/>
    <s v="01-E001-00000713"/>
    <n v="20605405968"/>
    <s v="GRUPO MILKAM S.A.C."/>
    <x v="0"/>
    <s v="US$"/>
    <n v="0"/>
    <n v="107.38"/>
    <x v="5"/>
    <x v="8"/>
  </r>
  <r>
    <d v="2022-12-07T00:00:00"/>
    <d v="2022-12-14T00:00:00"/>
    <n v="1"/>
    <s v="01-FN01-00003020"/>
    <n v="20606113758"/>
    <s v="INVERSIONES PAMPA REAL S.A.C."/>
    <x v="0"/>
    <s v="S/"/>
    <n v="3610.8"/>
    <n v="0"/>
    <x v="5"/>
    <x v="8"/>
  </r>
  <r>
    <d v="2022-11-14T00:00:00"/>
    <d v="2022-12-14T00:00:00"/>
    <n v="1"/>
    <s v="01-FN01-00002669"/>
    <n v="20455924724"/>
    <s v="LA GRANJA SERVICIOS VETERINARIOS E.I.R.L."/>
    <x v="3"/>
    <s v="US$"/>
    <n v="0"/>
    <n v="212.4"/>
    <x v="5"/>
    <x v="8"/>
  </r>
  <r>
    <d v="2022-12-14T00:00:00"/>
    <d v="2022-12-14T00:00:00"/>
    <n v="1"/>
    <s v="03-EB01-00000047"/>
    <n v="40745693"/>
    <s v="LAURENTE CACERES,MARIVEL"/>
    <x v="0"/>
    <s v="S/"/>
    <n v="3438.04"/>
    <n v="0"/>
    <x v="5"/>
    <x v="8"/>
  </r>
  <r>
    <d v="2022-11-14T00:00:00"/>
    <d v="2022-12-14T00:00:00"/>
    <n v="1"/>
    <s v="01-FN01-00002676"/>
    <n v="20516083647"/>
    <s v="PONEDORAS S.A.C."/>
    <x v="1"/>
    <s v="US$"/>
    <n v="0"/>
    <n v="1038.4000000000001"/>
    <x v="5"/>
    <x v="8"/>
  </r>
  <r>
    <d v="2022-11-14T00:00:00"/>
    <d v="2022-12-14T00:00:00"/>
    <n v="1"/>
    <s v="01-FN01-00002672"/>
    <n v="10065815856"/>
    <s v="SAKIHARA SAKIHARA DE TOMAYA CECILIA HATS"/>
    <x v="2"/>
    <s v="S/"/>
    <n v="1502.94"/>
    <n v="0"/>
    <x v="5"/>
    <x v="8"/>
  </r>
  <r>
    <d v="2022-11-15T00:00:00"/>
    <d v="2022-12-15T00:00:00"/>
    <n v="0"/>
    <s v="01-FN01-00002696"/>
    <n v="20320731314"/>
    <s v="AGROPECUARIA DOÑA SILVIA S.R.L."/>
    <x v="1"/>
    <s v="S/"/>
    <n v="35400"/>
    <n v="0"/>
    <x v="5"/>
    <x v="8"/>
  </r>
  <r>
    <d v="2022-11-15T00:00:00"/>
    <d v="2022-12-15T00:00:00"/>
    <n v="0"/>
    <s v="01-FN01-00002680"/>
    <n v="20519666601"/>
    <s v="AGROPECUARIA E INDUSTRIAS FAFIO S.A."/>
    <x v="3"/>
    <s v="S/"/>
    <n v="777.1"/>
    <n v="0"/>
    <x v="5"/>
    <x v="8"/>
  </r>
  <r>
    <d v="2022-11-15T00:00:00"/>
    <d v="2022-12-15T00:00:00"/>
    <n v="0"/>
    <s v="01-FN01-00002684"/>
    <n v="20602565786"/>
    <s v="ASR PECUARIA S.A.C. - ASRP S.A.C."/>
    <x v="1"/>
    <s v="S/"/>
    <n v="1298"/>
    <n v="0"/>
    <x v="5"/>
    <x v="8"/>
  </r>
  <r>
    <d v="2022-11-15T00:00:00"/>
    <d v="2022-12-15T00:00:00"/>
    <n v="0"/>
    <s v="01-FN01-00002707"/>
    <n v="20602565786"/>
    <s v="ASR PECUARIA S.A.C. - ASRP S.A.C."/>
    <x v="1"/>
    <s v="S/"/>
    <n v="1298"/>
    <n v="0"/>
    <x v="5"/>
    <x v="8"/>
  </r>
  <r>
    <d v="2022-11-15T00:00:00"/>
    <d v="2022-12-15T00:00:00"/>
    <n v="0"/>
    <s v="01-FN01-00002700"/>
    <n v="20601908701"/>
    <s v="AVIPECUARIA LANFER E.I.R.L."/>
    <x v="0"/>
    <s v="US$"/>
    <n v="0"/>
    <n v="1121"/>
    <x v="5"/>
    <x v="8"/>
  </r>
  <r>
    <d v="2022-11-15T00:00:00"/>
    <d v="2022-12-15T00:00:00"/>
    <n v="0"/>
    <s v="01-FN01-00002694"/>
    <n v="20602148948"/>
    <s v="AVIPECUARIA VAJU E.I.R.L."/>
    <x v="0"/>
    <s v="S/"/>
    <n v="3091.6"/>
    <n v="0"/>
    <x v="5"/>
    <x v="8"/>
  </r>
  <r>
    <d v="2022-11-15T00:00:00"/>
    <d v="2022-12-15T00:00:00"/>
    <n v="0"/>
    <s v="01-FN01-00002686"/>
    <n v="20546118461"/>
    <s v="CENTRAL AGROPECUARIA EL MOLINO S.A.C."/>
    <x v="2"/>
    <s v="S/"/>
    <n v="1652"/>
    <n v="0"/>
    <x v="5"/>
    <x v="8"/>
  </r>
  <r>
    <d v="2022-11-15T00:00:00"/>
    <d v="2022-12-15T00:00:00"/>
    <n v="0"/>
    <s v="01-FN01-00002697"/>
    <n v="20118383088"/>
    <s v="COAGROVET E.I.R.L."/>
    <x v="2"/>
    <s v="US$"/>
    <n v="0"/>
    <n v="545.75"/>
    <x v="5"/>
    <x v="8"/>
  </r>
  <r>
    <d v="2022-11-15T00:00:00"/>
    <d v="2022-12-15T00:00:00"/>
    <n v="0"/>
    <s v="01-FN01-00002687"/>
    <n v="20498655468"/>
    <s v="FUNDO AMERICA SAC."/>
    <x v="3"/>
    <s v="S/"/>
    <n v="152.72"/>
    <n v="0"/>
    <x v="5"/>
    <x v="8"/>
  </r>
  <r>
    <d v="2022-11-15T00:00:00"/>
    <d v="2022-12-15T00:00:00"/>
    <n v="0"/>
    <s v="01-FN01-00002678"/>
    <n v="20136241789"/>
    <s v="GRANJAS AMAZONICAS S.A.C"/>
    <x v="3"/>
    <s v="US$"/>
    <n v="0"/>
    <n v="1331.04"/>
    <x v="5"/>
    <x v="8"/>
  </r>
  <r>
    <d v="2022-11-15T00:00:00"/>
    <d v="2022-12-15T00:00:00"/>
    <n v="0"/>
    <s v="01-FN01-00002679"/>
    <n v="20136241789"/>
    <s v="GRANJAS AMAZONICAS S.A.C"/>
    <x v="3"/>
    <s v="US$"/>
    <n v="0"/>
    <n v="831.9"/>
    <x v="5"/>
    <x v="8"/>
  </r>
  <r>
    <d v="2022-11-15T00:00:00"/>
    <d v="2022-12-15T00:00:00"/>
    <n v="0"/>
    <s v="01-FN01-00002695"/>
    <n v="20527979936"/>
    <s v="MULTIGRANJA SANTA ROSA S.C.R.L."/>
    <x v="3"/>
    <s v="S/"/>
    <n v="385.62"/>
    <n v="0"/>
    <x v="5"/>
    <x v="8"/>
  </r>
  <r>
    <d v="2022-10-31T00:00:00"/>
    <d v="2022-12-15T00:00:00"/>
    <n v="0"/>
    <s v="01-FN01-00002477"/>
    <n v="20563716569"/>
    <s v="R &amp; R NATURAL E.I.R.L."/>
    <x v="3"/>
    <s v="US$"/>
    <n v="0"/>
    <n v="1050.2"/>
    <x v="5"/>
    <x v="8"/>
  </r>
  <r>
    <d v="2022-11-15T00:00:00"/>
    <d v="2022-12-15T00:00:00"/>
    <n v="0"/>
    <s v="01-FN01-00002688"/>
    <n v="20559102271"/>
    <s v="RECRIAS AMERICA S.A.C."/>
    <x v="3"/>
    <s v="US$"/>
    <n v="0"/>
    <n v="129.33000000000001"/>
    <x v="5"/>
    <x v="8"/>
  </r>
  <r>
    <d v="2022-11-16T00:00:00"/>
    <d v="2022-12-16T00:00:00"/>
    <n v="-1"/>
    <s v="01-FN01-00002727"/>
    <n v="20609315891"/>
    <s v="AGROPECUARIA D Y J S.A.C."/>
    <x v="2"/>
    <s v="US$"/>
    <n v="0"/>
    <n v="903.29"/>
    <x v="5"/>
    <x v="8"/>
  </r>
  <r>
    <d v="2022-11-16T00:00:00"/>
    <d v="2022-12-16T00:00:00"/>
    <n v="-1"/>
    <s v="01-FN01-00002714"/>
    <n v="20609315891"/>
    <s v="AGROPECUARIA D Y J S.A.C."/>
    <x v="2"/>
    <s v="S/"/>
    <n v="2584.1999999999998"/>
    <n v="0"/>
    <x v="5"/>
    <x v="8"/>
  </r>
  <r>
    <d v="2022-11-16T00:00:00"/>
    <d v="2022-12-16T00:00:00"/>
    <n v="-1"/>
    <s v="01-FN01-00002722"/>
    <n v="20534068582"/>
    <s v="AGROPECUARIA LA PROVIDENCIA S.A.C."/>
    <x v="1"/>
    <s v="US$"/>
    <n v="0"/>
    <n v="198.24"/>
    <x v="5"/>
    <x v="8"/>
  </r>
  <r>
    <d v="2022-11-16T00:00:00"/>
    <d v="2022-12-16T00:00:00"/>
    <n v="-1"/>
    <s v="01-FN01-00002718"/>
    <n v="20393226332"/>
    <s v="AVICOLA JAPI S.R.L."/>
    <x v="2"/>
    <s v="S/"/>
    <n v="8911.36"/>
    <n v="0"/>
    <x v="5"/>
    <x v="8"/>
  </r>
  <r>
    <d v="2022-11-16T00:00:00"/>
    <d v="2022-12-16T00:00:00"/>
    <n v="-1"/>
    <s v="01-FN01-00002713"/>
    <n v="20600272200"/>
    <s v="INVERSIONES Y NEGOCIACIONES PLUMIFERO E.I.R.L."/>
    <x v="3"/>
    <s v="S/"/>
    <n v="5817.4"/>
    <n v="0"/>
    <x v="5"/>
    <x v="8"/>
  </r>
  <r>
    <d v="2022-10-17T00:00:00"/>
    <d v="2022-12-16T00:00:00"/>
    <n v="-1"/>
    <s v="01-E001-00000607"/>
    <n v="20468261082"/>
    <s v="LOS SAUCES REPRESENTACIONES S.A.C."/>
    <x v="4"/>
    <s v="S/"/>
    <n v="517.24"/>
    <n v="0"/>
    <x v="5"/>
    <x v="8"/>
  </r>
  <r>
    <d v="2022-10-17T00:00:00"/>
    <d v="2022-12-16T00:00:00"/>
    <n v="-1"/>
    <s v="01-E001-00000608"/>
    <n v="20600109881"/>
    <s v="NUTRIPRODUCTOS SANTA ANA S.A.C."/>
    <x v="0"/>
    <s v="S/"/>
    <n v="3844.79"/>
    <n v="0"/>
    <x v="5"/>
    <x v="8"/>
  </r>
  <r>
    <d v="2022-11-16T00:00:00"/>
    <d v="2022-12-16T00:00:00"/>
    <n v="-1"/>
    <s v="01-FN01-00002721"/>
    <n v="20516083647"/>
    <s v="PONEDORAS S.A.C."/>
    <x v="1"/>
    <s v="US$"/>
    <n v="0"/>
    <n v="1557.6"/>
    <x v="5"/>
    <x v="8"/>
  </r>
  <r>
    <d v="2022-10-17T00:00:00"/>
    <d v="2022-12-16T00:00:00"/>
    <n v="-1"/>
    <s v="01-E001-00000610"/>
    <n v="20334218857"/>
    <s v="PRO-PREMIX NUTRICION S.R.L."/>
    <x v="2"/>
    <s v="US$"/>
    <n v="0"/>
    <n v="4366"/>
    <x v="5"/>
    <x v="8"/>
  </r>
  <r>
    <d v="2022-11-17T00:00:00"/>
    <d v="2022-12-17T00:00:00"/>
    <n v="-2"/>
    <s v="01-FN01-00002728"/>
    <n v="20540079227"/>
    <s v="AGROPECUARIA AVIPORC S.A.C."/>
    <x v="5"/>
    <s v="S/"/>
    <n v="3236.79"/>
    <n v="0"/>
    <x v="5"/>
    <x v="8"/>
  </r>
  <r>
    <d v="2022-11-02T00:00:00"/>
    <d v="2022-12-17T00:00:00"/>
    <n v="-2"/>
    <s v="01-FN01-00002503"/>
    <n v="20600194144"/>
    <s v="AVICOLA GRAN HUEVO S.A.C"/>
    <x v="0"/>
    <s v="S/"/>
    <n v="4012"/>
    <n v="0"/>
    <x v="5"/>
    <x v="8"/>
  </r>
  <r>
    <d v="2022-11-17T00:00:00"/>
    <d v="2022-12-17T00:00:00"/>
    <n v="-2"/>
    <s v="01-FN01-00002736"/>
    <n v="20609301121"/>
    <s v="AVICOLA LAS PIEDRITAS S.A.C."/>
    <x v="1"/>
    <s v="US$"/>
    <n v="0"/>
    <n v="968.49"/>
    <x v="5"/>
    <x v="8"/>
  </r>
  <r>
    <d v="2022-11-17T00:00:00"/>
    <d v="2022-12-17T00:00:00"/>
    <n v="-2"/>
    <s v="01-FN01-00002734"/>
    <n v="20609301121"/>
    <s v="AVICOLA LAS PIEDRITAS S.A.C."/>
    <x v="1"/>
    <s v="S/"/>
    <n v="1604.8"/>
    <n v="0"/>
    <x v="5"/>
    <x v="8"/>
  </r>
  <r>
    <d v="2022-11-17T00:00:00"/>
    <d v="2022-12-17T00:00:00"/>
    <n v="-2"/>
    <s v="01-FN01-00002732"/>
    <n v="20132100552"/>
    <s v="AVICOLA YUGOSLAVIA S.A.C."/>
    <x v="5"/>
    <s v="US$"/>
    <n v="0"/>
    <n v="368.75"/>
    <x v="5"/>
    <x v="8"/>
  </r>
  <r>
    <d v="2022-11-17T00:00:00"/>
    <d v="2022-12-17T00:00:00"/>
    <n v="-2"/>
    <s v="01-FN01-00002729"/>
    <n v="20132100552"/>
    <s v="AVICOLA YUGOSLAVIA S.A.C."/>
    <x v="5"/>
    <s v="S/"/>
    <n v="716.14"/>
    <n v="0"/>
    <x v="5"/>
    <x v="8"/>
  </r>
  <r>
    <d v="2022-10-18T00:00:00"/>
    <d v="2022-12-17T00:00:00"/>
    <n v="-2"/>
    <s v="01-E001-00000615"/>
    <n v="20506421781"/>
    <s v="CORPORACION RICO S.A.C."/>
    <x v="3"/>
    <s v="US$"/>
    <n v="0"/>
    <n v="4299.75"/>
    <x v="5"/>
    <x v="8"/>
  </r>
  <r>
    <d v="2022-10-18T00:00:00"/>
    <d v="2022-12-17T00:00:00"/>
    <n v="-2"/>
    <s v="01-E001-00000626"/>
    <n v="20506421781"/>
    <s v="CORPORACION RICO S.A.C."/>
    <x v="3"/>
    <s v="US$"/>
    <n v="0"/>
    <n v="5451.56"/>
    <x v="5"/>
    <x v="8"/>
  </r>
  <r>
    <d v="2022-10-18T00:00:00"/>
    <d v="2022-12-17T00:00:00"/>
    <n v="-2"/>
    <s v="01-E001-00000633"/>
    <n v="20506421781"/>
    <s v="CORPORACION RICO S.A.C."/>
    <x v="3"/>
    <s v="US$"/>
    <n v="0"/>
    <n v="1097.4000000000001"/>
    <x v="5"/>
    <x v="8"/>
  </r>
  <r>
    <d v="2022-11-17T00:00:00"/>
    <d v="2022-12-17T00:00:00"/>
    <n v="-2"/>
    <s v="01-FN01-00002737"/>
    <n v="20135541703"/>
    <s v="DON GOYO S.A."/>
    <x v="2"/>
    <s v="US$"/>
    <n v="0"/>
    <n v="590"/>
    <x v="5"/>
    <x v="8"/>
  </r>
  <r>
    <d v="2022-11-18T00:00:00"/>
    <d v="2022-12-18T00:00:00"/>
    <n v="-3"/>
    <s v="01-FN01-00002750"/>
    <n v="20555931914"/>
    <s v="AGROCORPORACION SAN DIEGO S.A.C."/>
    <x v="1"/>
    <s v="US$"/>
    <n v="0"/>
    <n v="587.64"/>
    <x v="5"/>
    <x v="8"/>
  </r>
  <r>
    <d v="2022-11-18T00:00:00"/>
    <d v="2022-12-18T00:00:00"/>
    <n v="-3"/>
    <s v="01-FN01-00002748"/>
    <n v="20320731314"/>
    <s v="AGROPECUARIA DOÑA SILVIA S.R.L."/>
    <x v="1"/>
    <s v="US$"/>
    <n v="0"/>
    <n v="2218.4"/>
    <x v="5"/>
    <x v="8"/>
  </r>
  <r>
    <d v="2022-10-19T00:00:00"/>
    <d v="2022-12-18T00:00:00"/>
    <n v="-3"/>
    <s v="01-E001-00000627"/>
    <n v="20506421781"/>
    <s v="CORPORACION RICO S.A.C."/>
    <x v="3"/>
    <s v="US$"/>
    <n v="0"/>
    <n v="4394.32"/>
    <x v="5"/>
    <x v="8"/>
  </r>
  <r>
    <d v="2022-11-18T00:00:00"/>
    <d v="2022-12-18T00:00:00"/>
    <n v="-3"/>
    <s v="01-FN01-00002749"/>
    <n v="20479862738"/>
    <s v="INVERAGRO SAN MARTIN DE PORRAS S.A.C."/>
    <x v="2"/>
    <s v="US$"/>
    <n v="0"/>
    <n v="387.98"/>
    <x v="5"/>
    <x v="8"/>
  </r>
  <r>
    <d v="2022-11-18T00:00:00"/>
    <d v="2022-12-18T00:00:00"/>
    <n v="-3"/>
    <s v="01-FN01-00002755"/>
    <n v="20600450329"/>
    <s v="INVERSIONES AVIPECUARIAS LA YEMA DE ORO E.I.R.L."/>
    <x v="0"/>
    <s v="US$"/>
    <n v="0"/>
    <n v="193.52"/>
    <x v="5"/>
    <x v="8"/>
  </r>
  <r>
    <d v="2022-10-19T00:00:00"/>
    <d v="2022-12-18T00:00:00"/>
    <n v="-3"/>
    <s v="01-E001-00000645"/>
    <n v="20600109881"/>
    <s v="NUTRIPRODUCTOS SANTA ANA S.A.C."/>
    <x v="0"/>
    <s v="S/"/>
    <n v="4165.7700000000004"/>
    <n v="0"/>
    <x v="5"/>
    <x v="8"/>
  </r>
  <r>
    <d v="2022-10-19T00:00:00"/>
    <d v="2022-12-18T00:00:00"/>
    <n v="-3"/>
    <s v="01-E001-00000646"/>
    <n v="20600109881"/>
    <s v="NUTRIPRODUCTOS SANTA ANA S.A.C."/>
    <x v="0"/>
    <s v="S/"/>
    <n v="115.69"/>
    <n v="0"/>
    <x v="5"/>
    <x v="8"/>
  </r>
  <r>
    <d v="2022-10-20T00:00:00"/>
    <d v="2022-12-19T00:00:00"/>
    <n v="-4"/>
    <s v="01-FN01-00002338"/>
    <n v="20132373958"/>
    <s v="CHIMU AGROPECUARIA S.A."/>
    <x v="5"/>
    <s v="S/"/>
    <n v="3955.95"/>
    <n v="0"/>
    <x v="5"/>
    <x v="8"/>
  </r>
  <r>
    <d v="2022-10-20T00:00:00"/>
    <d v="2022-12-19T00:00:00"/>
    <n v="-4"/>
    <s v="01-FN01-00002335"/>
    <n v="20451060393"/>
    <s v="DON POLLO LORETO S.A.C."/>
    <x v="2"/>
    <s v="US$"/>
    <n v="0"/>
    <n v="1087.3699999999999"/>
    <x v="5"/>
    <x v="8"/>
  </r>
  <r>
    <d v="2022-10-20T00:00:00"/>
    <d v="2022-12-19T00:00:00"/>
    <n v="-4"/>
    <s v="01-FN01-00002334"/>
    <n v="20451060393"/>
    <s v="DON POLLO LORETO S.A.C."/>
    <x v="2"/>
    <s v="US$"/>
    <n v="0"/>
    <n v="1201.83"/>
    <x v="5"/>
    <x v="8"/>
  </r>
  <r>
    <d v="2022-10-20T00:00:00"/>
    <d v="2022-12-19T00:00:00"/>
    <n v="-4"/>
    <s v="01-FN01-00002331"/>
    <n v="20600109881"/>
    <s v="NUTRIPRODUCTOS SANTA ANA S.A.C."/>
    <x v="0"/>
    <s v="S/"/>
    <n v="5895.35"/>
    <n v="0"/>
    <x v="5"/>
    <x v="8"/>
  </r>
  <r>
    <d v="2022-12-05T00:00:00"/>
    <d v="2022-12-20T00:00:00"/>
    <n v="-5"/>
    <s v="01-FN05-00000167"/>
    <n v="20307167442"/>
    <s v="COMISION DE PROMOCION DEL PERU PARA LA EXPORTACION Y EL TURISMO - PROMPERU"/>
    <x v="4"/>
    <s v="S/"/>
    <n v="9900"/>
    <n v="0"/>
    <x v="5"/>
    <x v="8"/>
  </r>
  <r>
    <d v="2022-10-21T00:00:00"/>
    <d v="2022-12-20T00:00:00"/>
    <n v="-5"/>
    <s v="01-FN01-00002348"/>
    <n v="20439320126"/>
    <s v="DON POLLO LA LIBERTAD SAC"/>
    <x v="5"/>
    <s v="US$"/>
    <n v="0"/>
    <n v="572.29999999999995"/>
    <x v="5"/>
    <x v="8"/>
  </r>
  <r>
    <d v="2022-10-21T00:00:00"/>
    <d v="2022-12-20T00:00:00"/>
    <n v="-5"/>
    <s v="01-FN01-00002347"/>
    <n v="20506322708"/>
    <s v="GRANJA HUERTO SAN MARTIN DE PORRES SAC"/>
    <x v="0"/>
    <s v="US$"/>
    <n v="0"/>
    <n v="488.8"/>
    <x v="5"/>
    <x v="8"/>
  </r>
  <r>
    <d v="2022-10-21T00:00:00"/>
    <d v="2022-12-20T00:00:00"/>
    <n v="-5"/>
    <s v="01-FN01-00002349"/>
    <n v="20155261570"/>
    <s v="GRUPO SANTA ELENA S.A."/>
    <x v="0"/>
    <s v="S/"/>
    <n v="934.56"/>
    <n v="0"/>
    <x v="5"/>
    <x v="8"/>
  </r>
  <r>
    <d v="2022-11-21T00:00:00"/>
    <d v="2022-12-21T00:00:00"/>
    <n v="-6"/>
    <s v="01-FN01-00002763"/>
    <n v="20510844034"/>
    <s v="AGROINDUSTRIA EL COMEDERO S.C.R.L."/>
    <x v="0"/>
    <s v="US$"/>
    <n v="0"/>
    <n v="3311.08"/>
    <x v="5"/>
    <x v="8"/>
  </r>
  <r>
    <d v="2022-11-21T00:00:00"/>
    <d v="2022-12-21T00:00:00"/>
    <n v="-6"/>
    <s v="01-FN01-00002785"/>
    <n v="20600417046"/>
    <s v="AGROPECUARIA CAMPO REAL S.A.C."/>
    <x v="2"/>
    <s v="S/"/>
    <n v="5289.85"/>
    <n v="0"/>
    <x v="5"/>
    <x v="8"/>
  </r>
  <r>
    <d v="2022-11-21T00:00:00"/>
    <d v="2022-12-21T00:00:00"/>
    <n v="-6"/>
    <s v="01-FN01-00002779"/>
    <n v="20600417046"/>
    <s v="AGROPECUARIA CAMPO REAL S.A.C."/>
    <x v="2"/>
    <s v="US$"/>
    <n v="0"/>
    <n v="373.1"/>
    <x v="5"/>
    <x v="8"/>
  </r>
  <r>
    <d v="2022-11-21T00:00:00"/>
    <d v="2022-12-21T00:00:00"/>
    <n v="-6"/>
    <s v="01-FN01-00002782"/>
    <n v="20477335455"/>
    <s v="AVICOLA MOCHE S.A.C."/>
    <x v="5"/>
    <s v="S/"/>
    <n v="1416"/>
    <n v="0"/>
    <x v="5"/>
    <x v="8"/>
  </r>
  <r>
    <d v="2022-11-21T00:00:00"/>
    <d v="2022-12-21T00:00:00"/>
    <n v="-6"/>
    <s v="01-FN01-00002781"/>
    <n v="20480687401"/>
    <s v="AVICOLA TRUJILLO S.A.C."/>
    <x v="5"/>
    <s v="S/"/>
    <n v="8212.7999999999993"/>
    <n v="0"/>
    <x v="5"/>
    <x v="8"/>
  </r>
  <r>
    <d v="2022-11-21T00:00:00"/>
    <d v="2022-12-21T00:00:00"/>
    <n v="-6"/>
    <s v="01-FN01-00002773"/>
    <n v="20132100552"/>
    <s v="AVICOLA YUGOSLAVIA S.A.C."/>
    <x v="5"/>
    <s v="S/"/>
    <n v="3079.8"/>
    <n v="0"/>
    <x v="5"/>
    <x v="8"/>
  </r>
  <r>
    <d v="2022-11-21T00:00:00"/>
    <d v="2022-12-21T00:00:00"/>
    <n v="-6"/>
    <s v="01-FN01-00002768"/>
    <n v="20132100552"/>
    <s v="AVICOLA YUGOSLAVIA S.A.C."/>
    <x v="5"/>
    <s v="S/"/>
    <n v="1909.71"/>
    <n v="0"/>
    <x v="5"/>
    <x v="8"/>
  </r>
  <r>
    <d v="2022-11-21T00:00:00"/>
    <d v="2022-12-21T00:00:00"/>
    <n v="-6"/>
    <s v="01-FN01-00002783"/>
    <n v="20132100552"/>
    <s v="AVICOLA YUGOSLAVIA S.A.C."/>
    <x v="5"/>
    <s v="US$"/>
    <n v="0"/>
    <n v="17520.64"/>
    <x v="5"/>
    <x v="8"/>
  </r>
  <r>
    <d v="2022-11-21T00:00:00"/>
    <d v="2022-12-21T00:00:00"/>
    <n v="-6"/>
    <s v="01-FN01-00002766"/>
    <n v="20563407426"/>
    <s v="CERDOS SUR PERÚ S.A. - CERSUR S.A."/>
    <x v="0"/>
    <s v="S/"/>
    <n v="8496"/>
    <n v="0"/>
    <x v="5"/>
    <x v="8"/>
  </r>
  <r>
    <d v="2022-11-21T00:00:00"/>
    <d v="2022-12-21T00:00:00"/>
    <n v="-6"/>
    <s v="01-FN01-00002775"/>
    <n v="20550756031"/>
    <s v="G &amp; H SERVICIOS INDUSTRIALES S.A.C."/>
    <x v="1"/>
    <s v="US$"/>
    <n v="0"/>
    <n v="280.55"/>
    <x v="5"/>
    <x v="8"/>
  </r>
  <r>
    <d v="2022-11-21T00:00:00"/>
    <d v="2022-12-21T00:00:00"/>
    <n v="-6"/>
    <s v="01-FN01-00002778"/>
    <n v="20534627310"/>
    <s v="INVERSIONES AGROINDUSTRIALES ANCALU S.A.C."/>
    <x v="0"/>
    <s v="S/"/>
    <n v="4256.43"/>
    <n v="0"/>
    <x v="5"/>
    <x v="8"/>
  </r>
  <r>
    <d v="2022-11-21T00:00:00"/>
    <d v="2022-12-21T00:00:00"/>
    <n v="-6"/>
    <s v="01-FN01-00002774"/>
    <n v="20601311110"/>
    <s v="MOLINERA GOOD NUTRITION S.A.C."/>
    <x v="1"/>
    <s v="US$"/>
    <n v="0"/>
    <n v="206.21"/>
    <x v="5"/>
    <x v="8"/>
  </r>
  <r>
    <d v="2022-11-21T00:00:00"/>
    <d v="2022-12-21T00:00:00"/>
    <n v="-6"/>
    <s v="01-FN01-00002776"/>
    <n v="20131589086"/>
    <s v="MOLINO LA PERLA S.A.C."/>
    <x v="5"/>
    <s v="US$"/>
    <n v="0"/>
    <n v="1770"/>
    <x v="5"/>
    <x v="8"/>
  </r>
  <r>
    <d v="2022-11-21T00:00:00"/>
    <d v="2022-12-21T00:00:00"/>
    <n v="-6"/>
    <s v="01-FN01-00002764"/>
    <n v="10336744640"/>
    <s v="TORO CARRANZA HERMINIO"/>
    <x v="2"/>
    <s v="US$"/>
    <n v="0"/>
    <n v="272.58"/>
    <x v="5"/>
    <x v="8"/>
  </r>
  <r>
    <d v="2022-11-22T00:00:00"/>
    <d v="2022-12-22T00:00:00"/>
    <n v="-7"/>
    <s v="01-FN01-00002790"/>
    <n v="20555931914"/>
    <s v="AGROCORPORACION SAN DIEGO S.A.C."/>
    <x v="1"/>
    <s v="US$"/>
    <n v="0"/>
    <n v="396.48"/>
    <x v="5"/>
    <x v="8"/>
  </r>
  <r>
    <d v="2022-11-22T00:00:00"/>
    <d v="2022-12-22T00:00:00"/>
    <n v="-7"/>
    <s v="01-FN01-00002789"/>
    <n v="20555931914"/>
    <s v="AGROCORPORACION SAN DIEGO S.A.C."/>
    <x v="1"/>
    <s v="S/"/>
    <n v="120.08"/>
    <n v="0"/>
    <x v="5"/>
    <x v="8"/>
  </r>
  <r>
    <d v="2022-11-22T00:00:00"/>
    <d v="2022-12-22T00:00:00"/>
    <n v="-7"/>
    <s v="01-FN01-00002786"/>
    <n v="20393713322"/>
    <s v="AGUILA PECUARIA DEL PERU E.I.R.L."/>
    <x v="2"/>
    <s v="US$"/>
    <n v="0"/>
    <n v="7080"/>
    <x v="5"/>
    <x v="8"/>
  </r>
  <r>
    <d v="2022-11-22T00:00:00"/>
    <d v="2022-12-22T00:00:00"/>
    <n v="-7"/>
    <s v="01-FN01-00002788"/>
    <n v="20393719100"/>
    <s v="INVERSIONES COCOROCO E.I.R.L."/>
    <x v="2"/>
    <s v="US$"/>
    <n v="0"/>
    <n v="1109.2"/>
    <x v="5"/>
    <x v="8"/>
  </r>
  <r>
    <d v="2022-11-07T00:00:00"/>
    <d v="2022-12-22T00:00:00"/>
    <n v="-7"/>
    <s v="01-FN01-00002564"/>
    <n v="20602768512"/>
    <s v="PERULAB ECOLOGIC S.A.C."/>
    <x v="0"/>
    <s v="S/"/>
    <n v="6680.81"/>
    <n v="0"/>
    <x v="5"/>
    <x v="8"/>
  </r>
  <r>
    <d v="2022-11-23T00:00:00"/>
    <d v="2022-12-23T00:00:00"/>
    <n v="-8"/>
    <s v="01-FN01-00002810"/>
    <n v="20609301121"/>
    <s v="AVICOLA LAS PIEDRITAS S.A.C."/>
    <x v="1"/>
    <s v="S/"/>
    <n v="10030"/>
    <n v="0"/>
    <x v="5"/>
    <x v="8"/>
  </r>
  <r>
    <d v="2022-11-03T00:00:00"/>
    <d v="2022-12-23T00:00:00"/>
    <n v="-8"/>
    <s v="01-FN01-00002518"/>
    <n v="20455708193"/>
    <s v="AVICOLA SUPER FRESQUITOS S.A.C."/>
    <x v="3"/>
    <s v="US$"/>
    <n v="0"/>
    <n v="717.9"/>
    <x v="5"/>
    <x v="8"/>
  </r>
  <r>
    <d v="2022-11-23T00:00:00"/>
    <d v="2022-12-23T00:00:00"/>
    <n v="-8"/>
    <s v="01-FN01-00002803"/>
    <n v="20559155391"/>
    <s v="COMERCIALIZADORA Y DISTRIBUIDORA DCARLO E.I.R.L."/>
    <x v="3"/>
    <s v="US$"/>
    <n v="0"/>
    <n v="304.44"/>
    <x v="5"/>
    <x v="8"/>
  </r>
  <r>
    <d v="2022-10-24T00:00:00"/>
    <d v="2022-12-23T00:00:00"/>
    <n v="-8"/>
    <s v="01-FN01-00002365"/>
    <n v="20506421781"/>
    <s v="CORPORACION RICO S.A.C."/>
    <x v="3"/>
    <s v="US$"/>
    <n v="0"/>
    <n v="6938.4"/>
    <x v="5"/>
    <x v="8"/>
  </r>
  <r>
    <d v="2022-10-24T00:00:00"/>
    <d v="2022-12-23T00:00:00"/>
    <n v="-8"/>
    <s v="01-FN01-00002354"/>
    <n v="20451060393"/>
    <s v="DON POLLO LORETO S.A.C."/>
    <x v="2"/>
    <s v="US$"/>
    <n v="0"/>
    <n v="1201.83"/>
    <x v="5"/>
    <x v="8"/>
  </r>
  <r>
    <d v="2022-11-08T00:00:00"/>
    <d v="2022-12-23T00:00:00"/>
    <n v="-8"/>
    <s v="01-FN01-00002588"/>
    <n v="20492252299"/>
    <s v="EL OLAM E.I.R.L."/>
    <x v="3"/>
    <s v="S/"/>
    <n v="5192"/>
    <n v="0"/>
    <x v="5"/>
    <x v="8"/>
  </r>
  <r>
    <d v="2022-11-08T00:00:00"/>
    <d v="2022-12-23T00:00:00"/>
    <n v="-8"/>
    <s v="01-FN01-00002583"/>
    <n v="20534406496"/>
    <s v="GRANJA AVICOLA REC S.A.C."/>
    <x v="0"/>
    <s v="US$"/>
    <n v="0"/>
    <n v="231.28"/>
    <x v="5"/>
    <x v="8"/>
  </r>
  <r>
    <d v="2022-10-24T00:00:00"/>
    <d v="2022-12-23T00:00:00"/>
    <n v="-8"/>
    <s v="01-FN01-00002363"/>
    <n v="20506322708"/>
    <s v="GRANJA HUERTO SAN MARTIN DE PORRES SAC"/>
    <x v="0"/>
    <s v="US$"/>
    <n v="0"/>
    <n v="733.2"/>
    <x v="5"/>
    <x v="8"/>
  </r>
  <r>
    <d v="2022-11-23T00:00:00"/>
    <d v="2022-12-23T00:00:00"/>
    <n v="-8"/>
    <s v="01-FN01-00002807"/>
    <n v="20602674488"/>
    <s v="GRUPO ISAMISA S.A.C."/>
    <x v="2"/>
    <s v="US$"/>
    <n v="0"/>
    <n v="927.01"/>
    <x v="5"/>
    <x v="8"/>
  </r>
  <r>
    <d v="2022-11-23T00:00:00"/>
    <d v="2022-12-23T00:00:00"/>
    <n v="-8"/>
    <s v="01-FN01-00002809"/>
    <n v="20455732574"/>
    <s v="INTEGRACION MONZON E.I.R.L."/>
    <x v="3"/>
    <s v="S/"/>
    <n v="1515.77"/>
    <n v="0"/>
    <x v="5"/>
    <x v="8"/>
  </r>
  <r>
    <d v="2022-10-24T00:00:00"/>
    <d v="2022-12-23T00:00:00"/>
    <n v="-8"/>
    <s v="01-FN01-00002378"/>
    <n v="20468261082"/>
    <s v="LOS SAUCES REPRESENTACIONES S.A.C."/>
    <x v="4"/>
    <s v="S/"/>
    <n v="2276.9299999999998"/>
    <n v="0"/>
    <x v="5"/>
    <x v="8"/>
  </r>
  <r>
    <d v="2022-11-23T00:00:00"/>
    <d v="2022-12-23T00:00:00"/>
    <n v="-8"/>
    <s v="01-FN01-00002801"/>
    <n v="20468261082"/>
    <s v="LOS SAUCES REPRESENTACIONES S.A.C."/>
    <x v="4"/>
    <s v="S/"/>
    <n v="2310.44"/>
    <n v="0"/>
    <x v="5"/>
    <x v="8"/>
  </r>
  <r>
    <d v="2022-10-24T00:00:00"/>
    <d v="2022-12-23T00:00:00"/>
    <n v="-8"/>
    <s v="01-FN01-00002384"/>
    <n v="20221084684"/>
    <s v="REDONDOS S A"/>
    <x v="1"/>
    <s v="US$"/>
    <n v="0"/>
    <n v="3398.4"/>
    <x v="5"/>
    <x v="8"/>
  </r>
  <r>
    <d v="2022-10-24T00:00:00"/>
    <d v="2022-12-23T00:00:00"/>
    <n v="-8"/>
    <s v="01-FN01-00002372"/>
    <n v="20505120702"/>
    <s v="TECNICA AVICOLA S.A."/>
    <x v="5"/>
    <s v="S/"/>
    <n v="5239.2"/>
    <n v="0"/>
    <x v="5"/>
    <x v="8"/>
  </r>
  <r>
    <d v="2022-10-24T00:00:00"/>
    <d v="2022-12-23T00:00:00"/>
    <n v="-8"/>
    <s v="01-FN01-00002376"/>
    <n v="20609609711"/>
    <s v="VILLA ESMERALDA S.A.C."/>
    <x v="0"/>
    <s v="S/"/>
    <n v="12155.53"/>
    <n v="0"/>
    <x v="5"/>
    <x v="8"/>
  </r>
  <r>
    <d v="2022-10-25T00:00:00"/>
    <d v="2022-12-24T00:00:00"/>
    <n v="-9"/>
    <s v="01-FN01-00002403"/>
    <n v="20320731314"/>
    <s v="AGROPECUARIA DOÑA SILVIA S.R.L."/>
    <x v="1"/>
    <s v="US$"/>
    <n v="0"/>
    <n v="8477.1200000000008"/>
    <x v="5"/>
    <x v="8"/>
  </r>
  <r>
    <d v="2022-11-24T00:00:00"/>
    <d v="2022-12-24T00:00:00"/>
    <n v="-9"/>
    <s v="01-FN01-00002821"/>
    <n v="20320731314"/>
    <s v="AGROPECUARIA DOÑA SILVIA S.R.L."/>
    <x v="1"/>
    <s v="S/"/>
    <n v="35400"/>
    <n v="0"/>
    <x v="5"/>
    <x v="8"/>
  </r>
  <r>
    <d v="2022-11-24T00:00:00"/>
    <d v="2022-12-24T00:00:00"/>
    <n v="-9"/>
    <s v="01-FN01-00002812"/>
    <n v="20104508023"/>
    <s v="AGROPECUARIA RIO BRAVO HNOS S.A.C."/>
    <x v="0"/>
    <s v="S/"/>
    <n v="13238.64"/>
    <n v="0"/>
    <x v="5"/>
    <x v="8"/>
  </r>
  <r>
    <d v="2022-10-25T00:00:00"/>
    <d v="2022-12-24T00:00:00"/>
    <n v="-9"/>
    <s v="01-FN01-00002385"/>
    <n v="20440365095"/>
    <s v="AGROPECUARIA YOIS S.R.L."/>
    <x v="5"/>
    <s v="US$"/>
    <n v="0"/>
    <n v="3379.52"/>
    <x v="5"/>
    <x v="8"/>
  </r>
  <r>
    <d v="2022-11-24T00:00:00"/>
    <d v="2022-12-24T00:00:00"/>
    <n v="-9"/>
    <s v="01-FN01-00002823"/>
    <n v="20136241789"/>
    <s v="GRANJAS AMAZONICAS S.A.C"/>
    <x v="3"/>
    <s v="US$"/>
    <n v="0"/>
    <n v="1687.4"/>
    <x v="5"/>
    <x v="8"/>
  </r>
  <r>
    <d v="2022-11-24T00:00:00"/>
    <d v="2022-12-24T00:00:00"/>
    <n v="-9"/>
    <s v="01-FN01-00002816"/>
    <n v="20602674488"/>
    <s v="GRUPO ISAMISA S.A.C."/>
    <x v="2"/>
    <s v="S/"/>
    <n v="3044.4"/>
    <n v="0"/>
    <x v="5"/>
    <x v="8"/>
  </r>
  <r>
    <d v="2022-11-24T00:00:00"/>
    <d v="2022-12-24T00:00:00"/>
    <n v="-9"/>
    <s v="01-FN01-00002818"/>
    <n v="20600272200"/>
    <s v="INVERSIONES Y NEGOCIACIONES PLUMIFERO E.I.R.L."/>
    <x v="3"/>
    <s v="US$"/>
    <n v="0"/>
    <n v="236"/>
    <x v="5"/>
    <x v="8"/>
  </r>
  <r>
    <d v="2022-11-09T00:00:00"/>
    <d v="2022-12-24T00:00:00"/>
    <n v="-9"/>
    <s v="01-FN01-00002620"/>
    <n v="20563716569"/>
    <s v="R &amp; R NATURAL E.I.R.L."/>
    <x v="3"/>
    <s v="S/"/>
    <n v="28632.19"/>
    <n v="0"/>
    <x v="5"/>
    <x v="8"/>
  </r>
  <r>
    <d v="2022-10-25T00:00:00"/>
    <d v="2022-12-24T00:00:00"/>
    <n v="-9"/>
    <s v="01-FN01-00002414"/>
    <n v="20609609711"/>
    <s v="VILLA ESMERALDA S.A.C."/>
    <x v="0"/>
    <s v="S/"/>
    <n v="1945.94"/>
    <n v="0"/>
    <x v="5"/>
    <x v="8"/>
  </r>
  <r>
    <d v="2022-11-25T00:00:00"/>
    <d v="2022-12-25T00:00:00"/>
    <n v="-10"/>
    <s v="01-FN01-00002828"/>
    <n v="20534760231"/>
    <s v="AGRICOLA GANADERA LAS CANELAS SOCIEDAD ANONIMA CERRADA"/>
    <x v="0"/>
    <s v="US$"/>
    <n v="0"/>
    <n v="2166.48"/>
    <x v="5"/>
    <x v="8"/>
  </r>
  <r>
    <d v="2022-11-25T00:00:00"/>
    <d v="2022-12-25T00:00:00"/>
    <n v="-10"/>
    <s v="01-FN01-00002838"/>
    <n v="20104508023"/>
    <s v="AGROPECUARIA RIO BRAVO HNOS S.A.C."/>
    <x v="0"/>
    <s v="S/"/>
    <n v="1015.58"/>
    <n v="0"/>
    <x v="5"/>
    <x v="8"/>
  </r>
  <r>
    <d v="2022-11-25T00:00:00"/>
    <d v="2022-12-25T00:00:00"/>
    <n v="-10"/>
    <s v="01-FN01-00002837"/>
    <n v="20104508023"/>
    <s v="AGROPECUARIA RIO BRAVO HNOS S.A.C."/>
    <x v="0"/>
    <s v="S/"/>
    <n v="1026.5999999999999"/>
    <n v="0"/>
    <x v="5"/>
    <x v="8"/>
  </r>
  <r>
    <d v="2022-11-25T00:00:00"/>
    <d v="2022-12-25T00:00:00"/>
    <n v="-10"/>
    <s v="01-FN01-00002839"/>
    <n v="20440126341"/>
    <s v="AVICOLA J.B. S.A.C."/>
    <x v="5"/>
    <s v="US$"/>
    <n v="0"/>
    <n v="354"/>
    <x v="5"/>
    <x v="8"/>
  </r>
  <r>
    <d v="2022-10-26T00:00:00"/>
    <d v="2022-12-25T00:00:00"/>
    <n v="-10"/>
    <s v="01-FN01-00002418"/>
    <n v="20487823377"/>
    <s v="AVICOLA LAGUNAS S.A.C."/>
    <x v="5"/>
    <s v="US$"/>
    <n v="0"/>
    <n v="1843.75"/>
    <x v="5"/>
    <x v="8"/>
  </r>
  <r>
    <d v="2022-11-25T00:00:00"/>
    <d v="2022-12-25T00:00:00"/>
    <n v="-10"/>
    <s v="01-FN01-00002847"/>
    <n v="20480687401"/>
    <s v="AVICOLA TRUJILLO S.A.C."/>
    <x v="5"/>
    <s v="S/"/>
    <n v="913.32"/>
    <n v="0"/>
    <x v="5"/>
    <x v="8"/>
  </r>
  <r>
    <d v="2022-10-26T00:00:00"/>
    <d v="2022-12-25T00:00:00"/>
    <n v="-10"/>
    <s v="01-FN01-00002437"/>
    <n v="20439320126"/>
    <s v="DON POLLO LA LIBERTAD SAC"/>
    <x v="5"/>
    <s v="US$"/>
    <n v="0"/>
    <n v="314.77"/>
    <x v="5"/>
    <x v="8"/>
  </r>
  <r>
    <d v="2022-10-26T00:00:00"/>
    <d v="2022-12-25T00:00:00"/>
    <n v="-10"/>
    <s v="01-FN01-00002438"/>
    <n v="20451060393"/>
    <s v="DON POLLO LORETO S.A.C."/>
    <x v="2"/>
    <s v="US$"/>
    <n v="0"/>
    <n v="1173.22"/>
    <x v="5"/>
    <x v="8"/>
  </r>
  <r>
    <d v="2022-11-25T00:00:00"/>
    <d v="2022-12-25T00:00:00"/>
    <n v="-10"/>
    <s v="01-FN01-00002840"/>
    <n v="20533031707"/>
    <s v="INTEGRACION AMALIA SOCIEDAD ANONIMA CERRADA - INTEGRACION AMALIA S.A.C."/>
    <x v="3"/>
    <s v="S/"/>
    <n v="5411.95"/>
    <n v="0"/>
    <x v="5"/>
    <x v="8"/>
  </r>
  <r>
    <d v="2022-11-25T00:00:00"/>
    <d v="2022-12-25T00:00:00"/>
    <n v="-10"/>
    <s v="01-FN01-00002842"/>
    <n v="20131589086"/>
    <s v="MOLINO LA PERLA S.A.C."/>
    <x v="5"/>
    <s v="US$"/>
    <n v="0"/>
    <n v="261.25"/>
    <x v="5"/>
    <x v="8"/>
  </r>
  <r>
    <d v="2022-10-26T00:00:00"/>
    <d v="2022-12-25T00:00:00"/>
    <n v="-10"/>
    <s v="01-FN01-00002440"/>
    <n v="20221084684"/>
    <s v="REDONDOS S A"/>
    <x v="1"/>
    <s v="US$"/>
    <n v="0"/>
    <n v="10467.780000000001"/>
    <x v="5"/>
    <x v="8"/>
  </r>
  <r>
    <d v="2022-11-25T00:00:00"/>
    <d v="2022-12-25T00:00:00"/>
    <n v="-10"/>
    <s v="01-FN01-00002849"/>
    <n v="20491358743"/>
    <s v="REPRODUCTORAS ROMA S.A.C."/>
    <x v="0"/>
    <s v="S/"/>
    <n v="4214.09"/>
    <n v="0"/>
    <x v="5"/>
    <x v="8"/>
  </r>
  <r>
    <d v="2022-10-27T00:00:00"/>
    <d v="2022-12-26T00:00:00"/>
    <n v="-11"/>
    <s v="01-FN01-00002451"/>
    <n v="20221084684"/>
    <s v="REDONDOS S A"/>
    <x v="1"/>
    <s v="S/"/>
    <n v="226560"/>
    <n v="0"/>
    <x v="5"/>
    <x v="8"/>
  </r>
  <r>
    <d v="2022-11-28T00:00:00"/>
    <d v="2022-12-28T00:00:00"/>
    <n v="-13"/>
    <s v="01-FN01-00002857"/>
    <n v="20104508023"/>
    <s v="AGROPECUARIA RIO BRAVO HNOS S.A.C."/>
    <x v="0"/>
    <s v="S/"/>
    <n v="12391.39"/>
    <n v="0"/>
    <x v="5"/>
    <x v="8"/>
  </r>
  <r>
    <d v="2022-11-28T00:00:00"/>
    <d v="2022-12-28T00:00:00"/>
    <n v="-13"/>
    <s v="01-FN01-00002862"/>
    <n v="20104508023"/>
    <s v="AGROPECUARIA RIO BRAVO HNOS S.A.C."/>
    <x v="0"/>
    <s v="S/"/>
    <n v="849.03"/>
    <n v="0"/>
    <x v="5"/>
    <x v="8"/>
  </r>
  <r>
    <d v="2022-11-28T00:00:00"/>
    <d v="2022-12-28T00:00:00"/>
    <n v="-13"/>
    <s v="01-FN01-00002864"/>
    <n v="20203252324"/>
    <s v="AGROPECUARIA VALLECITO S.A."/>
    <x v="0"/>
    <s v="US$"/>
    <n v="0"/>
    <n v="830.72"/>
    <x v="5"/>
    <x v="8"/>
  </r>
  <r>
    <d v="2022-11-28T00:00:00"/>
    <d v="2022-12-28T00:00:00"/>
    <n v="-13"/>
    <s v="01-FN01-00002875"/>
    <n v="20602565786"/>
    <s v="ASR PECUARIA S.A.C. - ASRP S.A.C."/>
    <x v="1"/>
    <s v="S/"/>
    <n v="1947"/>
    <n v="0"/>
    <x v="5"/>
    <x v="8"/>
  </r>
  <r>
    <d v="2022-11-28T00:00:00"/>
    <d v="2022-12-28T00:00:00"/>
    <n v="-13"/>
    <s v="01-FN01-00002854"/>
    <n v="20525805281"/>
    <s v="AVICOLA Y SERVICIOS SAN ANDRES PIURA S.A.C."/>
    <x v="5"/>
    <s v="S/"/>
    <n v="1141.6500000000001"/>
    <n v="0"/>
    <x v="5"/>
    <x v="8"/>
  </r>
  <r>
    <d v="2022-11-28T00:00:00"/>
    <d v="2022-12-28T00:00:00"/>
    <n v="-13"/>
    <s v="01-FN01-00002851"/>
    <n v="20604400679"/>
    <s v="COBB PERU (ANDINA) S.A.C."/>
    <x v="1"/>
    <s v="US$"/>
    <n v="0"/>
    <n v="554.6"/>
    <x v="5"/>
    <x v="8"/>
  </r>
  <r>
    <d v="2022-11-28T00:00:00"/>
    <d v="2022-12-28T00:00:00"/>
    <n v="-13"/>
    <s v="01-FN01-00002853"/>
    <n v="20204844381"/>
    <s v="EL ROCIO S.A."/>
    <x v="5"/>
    <s v="US$"/>
    <n v="0"/>
    <n v="2016.38"/>
    <x v="5"/>
    <x v="8"/>
  </r>
  <r>
    <d v="2022-11-28T00:00:00"/>
    <d v="2022-12-28T00:00:00"/>
    <n v="-13"/>
    <s v="01-FN01-00002852"/>
    <n v="20119041148"/>
    <s v="GENETICA ANIMAL S.A."/>
    <x v="2"/>
    <s v="US$"/>
    <n v="0"/>
    <n v="566.4"/>
    <x v="5"/>
    <x v="8"/>
  </r>
  <r>
    <d v="2022-11-28T00:00:00"/>
    <d v="2022-12-28T00:00:00"/>
    <n v="-13"/>
    <s v="01-FN01-00002873"/>
    <n v="20486319161"/>
    <s v="GRANJAS ORIHUELA S.A.C."/>
    <x v="2"/>
    <s v="S/"/>
    <n v="1442.73"/>
    <n v="0"/>
    <x v="5"/>
    <x v="8"/>
  </r>
  <r>
    <d v="2022-11-28T00:00:00"/>
    <d v="2022-12-28T00:00:00"/>
    <n v="-13"/>
    <s v="01-FN01-00002881"/>
    <n v="20475485948"/>
    <s v="GRAVISO S.A.C."/>
    <x v="1"/>
    <s v="S/"/>
    <n v="1112.4100000000001"/>
    <n v="0"/>
    <x v="5"/>
    <x v="8"/>
  </r>
  <r>
    <d v="2022-11-28T00:00:00"/>
    <d v="2022-12-28T00:00:00"/>
    <n v="-13"/>
    <s v="01-FN01-00002868"/>
    <n v="20193112791"/>
    <s v="INTEGRACION LUZ S.C.R.L."/>
    <x v="3"/>
    <s v="S/"/>
    <n v="1338.12"/>
    <n v="0"/>
    <x v="5"/>
    <x v="8"/>
  </r>
  <r>
    <d v="2022-11-28T00:00:00"/>
    <d v="2022-12-28T00:00:00"/>
    <n v="-13"/>
    <s v="01-FN01-00002879"/>
    <n v="20131589086"/>
    <s v="MOLINO LA PERLA S.A.C."/>
    <x v="5"/>
    <s v="US$"/>
    <n v="0"/>
    <n v="153.4"/>
    <x v="5"/>
    <x v="8"/>
  </r>
  <r>
    <d v="2022-11-28T00:00:00"/>
    <d v="2022-12-28T00:00:00"/>
    <n v="-13"/>
    <s v="01-FN01-00002871"/>
    <n v="20509090697"/>
    <s v="SANRAN S.A.C."/>
    <x v="1"/>
    <s v="S/"/>
    <n v="1219.6500000000001"/>
    <n v="0"/>
    <x v="5"/>
    <x v="8"/>
  </r>
  <r>
    <d v="2022-11-29T00:00:00"/>
    <d v="2022-12-29T00:00:00"/>
    <n v="-14"/>
    <s v="01-FN01-00002890"/>
    <n v="20510844034"/>
    <s v="AGROINDUSTRIA EL COMEDERO S.C.R.L."/>
    <x v="0"/>
    <s v="S/"/>
    <n v="2312.8000000000002"/>
    <n v="0"/>
    <x v="5"/>
    <x v="8"/>
  </r>
  <r>
    <d v="2022-11-29T00:00:00"/>
    <d v="2022-12-29T00:00:00"/>
    <n v="-14"/>
    <s v="01-FN01-00002898"/>
    <n v="20510844034"/>
    <s v="AGROINDUSTRIA EL COMEDERO S.C.R.L."/>
    <x v="0"/>
    <s v="US$"/>
    <n v="0"/>
    <n v="1067.9000000000001"/>
    <x v="5"/>
    <x v="8"/>
  </r>
  <r>
    <d v="2022-11-29T00:00:00"/>
    <d v="2022-12-29T00:00:00"/>
    <n v="-14"/>
    <s v="01-FN01-00002889"/>
    <n v="20571536529"/>
    <s v="AGROPECUARIA AGUIRRE S.A.C."/>
    <x v="1"/>
    <s v="US$"/>
    <n v="0"/>
    <n v="802.27"/>
    <x v="5"/>
    <x v="8"/>
  </r>
  <r>
    <d v="2022-11-29T00:00:00"/>
    <d v="2022-12-29T00:00:00"/>
    <n v="-14"/>
    <s v="01-FN01-00002892"/>
    <n v="20604602115"/>
    <s v="AVIAGEN PERU S.A.C."/>
    <x v="5"/>
    <s v="US$"/>
    <n v="0"/>
    <n v="218.54"/>
    <x v="5"/>
    <x v="8"/>
  </r>
  <r>
    <d v="2022-11-29T00:00:00"/>
    <d v="2022-12-29T00:00:00"/>
    <n v="-14"/>
    <s v="01-FN01-00002891"/>
    <n v="20550756031"/>
    <s v="G &amp; H SERVICIOS INDUSTRIALES S.A.C."/>
    <x v="1"/>
    <s v="US$"/>
    <n v="0"/>
    <n v="280.55"/>
    <x v="5"/>
    <x v="8"/>
  </r>
  <r>
    <d v="2022-11-29T00:00:00"/>
    <d v="2022-12-29T00:00:00"/>
    <n v="-14"/>
    <s v="01-FN01-00002887"/>
    <n v="20534627310"/>
    <s v="INVERSIONES AGROINDUSTRIALES ANCALU S.A.C."/>
    <x v="0"/>
    <s v="S/"/>
    <n v="4082.8"/>
    <n v="0"/>
    <x v="5"/>
    <x v="8"/>
  </r>
  <r>
    <d v="2022-11-29T00:00:00"/>
    <d v="2022-12-29T00:00:00"/>
    <n v="-14"/>
    <s v="01-FN01-00002901"/>
    <n v="20601311110"/>
    <s v="MOLINERA GOOD NUTRITION S.A.C."/>
    <x v="1"/>
    <s v="US$"/>
    <n v="0"/>
    <n v="206.21"/>
    <x v="5"/>
    <x v="8"/>
  </r>
  <r>
    <d v="2022-11-29T00:00:00"/>
    <d v="2022-12-29T00:00:00"/>
    <n v="-14"/>
    <s v="01-FN01-00002893"/>
    <n v="20440324224"/>
    <s v="PRODUCTOS AVICOLAS CHICAMA S.A.C."/>
    <x v="5"/>
    <s v="US$"/>
    <n v="0"/>
    <n v="1463.2"/>
    <x v="5"/>
    <x v="8"/>
  </r>
  <r>
    <d v="2022-11-29T00:00:00"/>
    <d v="2022-12-29T00:00:00"/>
    <n v="-14"/>
    <s v="01-FN01-00002895"/>
    <n v="20440324224"/>
    <s v="PRODUCTOS AVICOLAS CHICAMA S.A.C."/>
    <x v="5"/>
    <s v="S/"/>
    <n v="3079.8"/>
    <n v="0"/>
    <x v="5"/>
    <x v="8"/>
  </r>
  <r>
    <d v="2022-11-30T00:00:00"/>
    <d v="2022-12-30T00:00:00"/>
    <n v="-15"/>
    <s v="01-FN05-00000163"/>
    <n v="20601494095"/>
    <s v="ADDERA PERU S.A.C."/>
    <x v="4"/>
    <s v="US$"/>
    <n v="0"/>
    <n v="177"/>
    <x v="5"/>
    <x v="8"/>
  </r>
  <r>
    <d v="2022-11-30T00:00:00"/>
    <d v="2022-12-30T00:00:00"/>
    <n v="-15"/>
    <s v="01-FN05-00000165"/>
    <n v="20601494095"/>
    <s v="ADDERA PERU S.A.C."/>
    <x v="4"/>
    <s v="S/"/>
    <n v="446.04"/>
    <n v="0"/>
    <x v="5"/>
    <x v="8"/>
  </r>
  <r>
    <d v="2022-11-30T00:00:00"/>
    <d v="2022-12-30T00:00:00"/>
    <n v="-15"/>
    <s v="01-FN05-00000166"/>
    <n v="20601494095"/>
    <s v="ADDERA PERU S.A.C."/>
    <x v="4"/>
    <s v="S/"/>
    <n v="259.60000000000002"/>
    <n v="0"/>
    <x v="5"/>
    <x v="8"/>
  </r>
  <r>
    <d v="2022-11-30T00:00:00"/>
    <d v="2022-12-30T00:00:00"/>
    <n v="-15"/>
    <s v="03-BN01-00000218"/>
    <n v="18210051"/>
    <s v="ANHUAMAN AZABACHE,LUIS FERNANDO"/>
    <x v="5"/>
    <s v="S/"/>
    <n v="1141.6500000000001"/>
    <n v="0"/>
    <x v="5"/>
    <x v="8"/>
  </r>
  <r>
    <d v="2022-11-30T00:00:00"/>
    <d v="2022-12-30T00:00:00"/>
    <n v="-15"/>
    <s v="01-FN01-00002928"/>
    <n v="20393226332"/>
    <s v="AVICOLA JAPI S.R.L."/>
    <x v="2"/>
    <s v="S/"/>
    <n v="4204.17"/>
    <n v="0"/>
    <x v="5"/>
    <x v="8"/>
  </r>
  <r>
    <d v="2022-11-30T00:00:00"/>
    <d v="2022-12-30T00:00:00"/>
    <n v="-15"/>
    <s v="01-FN01-00002918"/>
    <n v="20609301121"/>
    <s v="AVICOLA LAS PIEDRITAS S.A.C."/>
    <x v="1"/>
    <s v="US$"/>
    <n v="0"/>
    <n v="140.13"/>
    <x v="5"/>
    <x v="8"/>
  </r>
  <r>
    <d v="2022-11-30T00:00:00"/>
    <d v="2022-12-30T00:00:00"/>
    <n v="-15"/>
    <s v="01-FN01-00002917"/>
    <n v="20132100552"/>
    <s v="AVICOLA YUGOSLAVIA S.A.C."/>
    <x v="5"/>
    <s v="US$"/>
    <n v="0"/>
    <n v="23.6"/>
    <x v="5"/>
    <x v="8"/>
  </r>
  <r>
    <d v="2022-10-31T00:00:00"/>
    <d v="2022-12-30T00:00:00"/>
    <n v="-15"/>
    <s v="01-FN01-00002481"/>
    <n v="20132373958"/>
    <s v="CHIMU AGROPECUARIA S.A."/>
    <x v="5"/>
    <s v="S/"/>
    <n v="7990.49"/>
    <n v="0"/>
    <x v="5"/>
    <x v="8"/>
  </r>
  <r>
    <d v="2022-10-31T00:00:00"/>
    <d v="2022-12-30T00:00:00"/>
    <n v="-15"/>
    <s v="01-FN01-00002472"/>
    <n v="20506421781"/>
    <s v="CORPORACION RICO S.A.C."/>
    <x v="3"/>
    <s v="US$"/>
    <n v="0"/>
    <n v="6938.4"/>
    <x v="5"/>
    <x v="8"/>
  </r>
  <r>
    <d v="2022-10-31T00:00:00"/>
    <d v="2022-12-30T00:00:00"/>
    <n v="-15"/>
    <s v="01-FN01-00002474"/>
    <n v="20439320126"/>
    <s v="DON POLLO LA LIBERTAD SAC"/>
    <x v="5"/>
    <s v="US$"/>
    <n v="0"/>
    <n v="629.53"/>
    <x v="5"/>
    <x v="8"/>
  </r>
  <r>
    <d v="2022-11-30T00:00:00"/>
    <d v="2022-12-30T00:00:00"/>
    <n v="-15"/>
    <s v="01-FN01-00002916"/>
    <n v="20269376806"/>
    <s v="ESTANCIA SANTA FE S.A.C."/>
    <x v="0"/>
    <s v="US$"/>
    <n v="0"/>
    <n v="756.38"/>
    <x v="5"/>
    <x v="8"/>
  </r>
  <r>
    <d v="2022-11-30T00:00:00"/>
    <d v="2022-12-30T00:00:00"/>
    <n v="-15"/>
    <s v="01-FN01-00002922"/>
    <n v="20550756031"/>
    <s v="G &amp; H SERVICIOS INDUSTRIALES S.A.C."/>
    <x v="1"/>
    <s v="S/"/>
    <n v="1557.6"/>
    <n v="0"/>
    <x v="5"/>
    <x v="8"/>
  </r>
  <r>
    <d v="2022-11-15T00:00:00"/>
    <d v="2022-12-30T00:00:00"/>
    <n v="-15"/>
    <s v="01-FN01-00002692"/>
    <n v="20534406496"/>
    <s v="GRANJA AVICOLA REC S.A.C."/>
    <x v="0"/>
    <s v="S/"/>
    <n v="731.03"/>
    <n v="0"/>
    <x v="5"/>
    <x v="8"/>
  </r>
  <r>
    <d v="2022-11-30T00:00:00"/>
    <d v="2022-12-30T00:00:00"/>
    <n v="-15"/>
    <s v="01-FN01-00002905"/>
    <n v="20566031583"/>
    <s v="INVERSIONES &amp; REPRESENTACIONES GASUR E.I.R.L."/>
    <x v="0"/>
    <s v="US$"/>
    <n v="0"/>
    <n v="1625.45"/>
    <x v="5"/>
    <x v="8"/>
  </r>
  <r>
    <d v="2022-11-30T00:00:00"/>
    <d v="2022-12-30T00:00:00"/>
    <n v="-15"/>
    <s v="01-FN01-00002912"/>
    <n v="20600272200"/>
    <s v="INVERSIONES Y NEGOCIACIONES PLUMIFERO E.I.R.L."/>
    <x v="3"/>
    <s v="S/"/>
    <n v="5940.59"/>
    <n v="0"/>
    <x v="5"/>
    <x v="8"/>
  </r>
  <r>
    <d v="2022-11-30T00:00:00"/>
    <d v="2022-12-30T00:00:00"/>
    <n v="-15"/>
    <s v="01-FN05-00000161"/>
    <n v="20468261082"/>
    <s v="LOS SAUCES REPRESENTACIONES S.A.C."/>
    <x v="4"/>
    <s v="S/"/>
    <n v="10221.75"/>
    <n v="0"/>
    <x v="5"/>
    <x v="8"/>
  </r>
  <r>
    <d v="2022-11-30T00:00:00"/>
    <d v="2022-12-30T00:00:00"/>
    <n v="-15"/>
    <s v="01-FN05-00000159"/>
    <n v="20468261082"/>
    <s v="LOS SAUCES REPRESENTACIONES S.A.C."/>
    <x v="4"/>
    <s v="S/"/>
    <n v="330.4"/>
    <n v="0"/>
    <x v="5"/>
    <x v="8"/>
  </r>
  <r>
    <d v="2022-11-30T00:00:00"/>
    <d v="2022-12-30T00:00:00"/>
    <n v="-15"/>
    <s v="01-FN05-00000158"/>
    <n v="20468261082"/>
    <s v="LOS SAUCES REPRESENTACIONES S.A.C."/>
    <x v="4"/>
    <s v="S/"/>
    <n v="330.4"/>
    <n v="0"/>
    <x v="5"/>
    <x v="8"/>
  </r>
  <r>
    <d v="2022-11-30T00:00:00"/>
    <d v="2022-12-30T00:00:00"/>
    <n v="-15"/>
    <s v="01-FN05-00000157"/>
    <n v="20468261082"/>
    <s v="LOS SAUCES REPRESENTACIONES S.A.C."/>
    <x v="4"/>
    <s v="S/"/>
    <n v="188.8"/>
    <n v="0"/>
    <x v="5"/>
    <x v="8"/>
  </r>
  <r>
    <d v="2022-11-30T00:00:00"/>
    <d v="2022-12-30T00:00:00"/>
    <n v="-15"/>
    <s v="01-FN05-00000155"/>
    <n v="20468261082"/>
    <s v="LOS SAUCES REPRESENTACIONES S.A.C."/>
    <x v="4"/>
    <s v="S/"/>
    <n v="330.4"/>
    <n v="0"/>
    <x v="5"/>
    <x v="8"/>
  </r>
  <r>
    <d v="2022-11-30T00:00:00"/>
    <d v="2022-12-30T00:00:00"/>
    <n v="-15"/>
    <s v="01-FN05-00000154"/>
    <n v="20468261082"/>
    <s v="LOS SAUCES REPRESENTACIONES S.A.C."/>
    <x v="4"/>
    <s v="S/"/>
    <n v="330.4"/>
    <n v="0"/>
    <x v="5"/>
    <x v="8"/>
  </r>
  <r>
    <d v="2022-11-30T00:00:00"/>
    <d v="2022-12-30T00:00:00"/>
    <n v="-15"/>
    <s v="01-FN05-00000153"/>
    <n v="20468261082"/>
    <s v="LOS SAUCES REPRESENTACIONES S.A.C."/>
    <x v="4"/>
    <s v="S/"/>
    <n v="188.8"/>
    <n v="0"/>
    <x v="5"/>
    <x v="8"/>
  </r>
  <r>
    <d v="2022-11-30T00:00:00"/>
    <d v="2022-12-30T00:00:00"/>
    <n v="-15"/>
    <s v="01-FN05-00000152"/>
    <n v="20468261082"/>
    <s v="LOS SAUCES REPRESENTACIONES S.A.C."/>
    <x v="4"/>
    <s v="S/"/>
    <n v="188.8"/>
    <n v="0"/>
    <x v="5"/>
    <x v="8"/>
  </r>
  <r>
    <d v="2022-11-30T00:00:00"/>
    <d v="2022-12-30T00:00:00"/>
    <n v="-15"/>
    <s v="01-FN05-00000151"/>
    <n v="20468261082"/>
    <s v="LOS SAUCES REPRESENTACIONES S.A.C."/>
    <x v="4"/>
    <s v="S/"/>
    <n v="330.4"/>
    <n v="0"/>
    <x v="5"/>
    <x v="8"/>
  </r>
  <r>
    <d v="2022-11-30T00:00:00"/>
    <d v="2022-12-30T00:00:00"/>
    <n v="-15"/>
    <s v="01-FN05-00000150"/>
    <n v="20468261082"/>
    <s v="LOS SAUCES REPRESENTACIONES S.A.C."/>
    <x v="4"/>
    <s v="S/"/>
    <n v="188.8"/>
    <n v="0"/>
    <x v="5"/>
    <x v="8"/>
  </r>
  <r>
    <d v="2022-11-30T00:00:00"/>
    <d v="2022-12-30T00:00:00"/>
    <n v="-15"/>
    <s v="01-FN05-00000149"/>
    <n v="20468261082"/>
    <s v="LOS SAUCES REPRESENTACIONES S.A.C."/>
    <x v="4"/>
    <s v="S/"/>
    <n v="330.4"/>
    <n v="0"/>
    <x v="5"/>
    <x v="8"/>
  </r>
  <r>
    <d v="2022-11-30T00:00:00"/>
    <d v="2022-12-30T00:00:00"/>
    <n v="-15"/>
    <s v="01-FN05-00000148"/>
    <n v="20468261082"/>
    <s v="LOS SAUCES REPRESENTACIONES S.A.C."/>
    <x v="4"/>
    <s v="S/"/>
    <n v="188.8"/>
    <n v="0"/>
    <x v="5"/>
    <x v="8"/>
  </r>
  <r>
    <d v="2022-11-30T00:00:00"/>
    <d v="2022-12-30T00:00:00"/>
    <n v="-15"/>
    <s v="01-FN05-00000147"/>
    <n v="20468261082"/>
    <s v="LOS SAUCES REPRESENTACIONES S.A.C."/>
    <x v="4"/>
    <s v="S/"/>
    <n v="17015.79"/>
    <n v="0"/>
    <x v="5"/>
    <x v="8"/>
  </r>
  <r>
    <d v="2022-11-30T00:00:00"/>
    <d v="2022-12-30T00:00:00"/>
    <n v="-15"/>
    <s v="01-FN05-00000160"/>
    <n v="20468261082"/>
    <s v="LOS SAUCES REPRESENTACIONES S.A.C."/>
    <x v="4"/>
    <s v="US$"/>
    <n v="0"/>
    <n v="265.5"/>
    <x v="5"/>
    <x v="8"/>
  </r>
  <r>
    <d v="2022-11-30T00:00:00"/>
    <d v="2022-12-30T00:00:00"/>
    <n v="-15"/>
    <s v="01-FN05-00000156"/>
    <n v="20468261082"/>
    <s v="LOS SAUCES REPRESENTACIONES S.A.C."/>
    <x v="4"/>
    <s v="S/"/>
    <n v="236"/>
    <n v="0"/>
    <x v="5"/>
    <x v="8"/>
  </r>
  <r>
    <d v="2022-11-30T00:00:00"/>
    <d v="2022-12-30T00:00:00"/>
    <n v="-15"/>
    <s v="01-FN01-00002907"/>
    <n v="20481608598"/>
    <s v="MOLINORTE S.A.C."/>
    <x v="5"/>
    <s v="US$"/>
    <n v="0"/>
    <n v="2975.96"/>
    <x v="5"/>
    <x v="8"/>
  </r>
  <r>
    <d v="2022-11-30T00:00:00"/>
    <d v="2022-12-30T00:00:00"/>
    <n v="-15"/>
    <s v="01-FN01-00002906"/>
    <n v="20603019343"/>
    <s v="PROTEIN GROUP S.A.C."/>
    <x v="0"/>
    <s v="US$"/>
    <n v="0"/>
    <n v="1034.6199999999999"/>
    <x v="5"/>
    <x v="8"/>
  </r>
  <r>
    <d v="2022-11-30T00:00:00"/>
    <d v="2022-12-30T00:00:00"/>
    <n v="-15"/>
    <s v="01-FN05-00000164"/>
    <n v="20604694290"/>
    <s v="SANAQ AGROBUSINESS S.A.C."/>
    <x v="4"/>
    <s v="S/"/>
    <n v="306.8"/>
    <n v="0"/>
    <x v="5"/>
    <x v="8"/>
  </r>
  <r>
    <d v="2022-11-30T00:00:00"/>
    <d v="2022-12-30T00:00:00"/>
    <n v="-15"/>
    <s v="01-FN05-00000162"/>
    <n v="20604694290"/>
    <s v="SANAQ AGROBUSINESS S.A.C."/>
    <x v="4"/>
    <s v="S/"/>
    <n v="531"/>
    <n v="0"/>
    <x v="5"/>
    <x v="8"/>
  </r>
  <r>
    <d v="2022-12-01T00:00:00"/>
    <d v="2022-12-31T00:00:00"/>
    <n v="-16"/>
    <s v="01-FN01-00002945"/>
    <n v="20132100552"/>
    <s v="AVICOLA YUGOSLAVIA S.A.C."/>
    <x v="5"/>
    <s v="US$"/>
    <n v="0"/>
    <n v="388.22"/>
    <x v="5"/>
    <x v="8"/>
  </r>
  <r>
    <d v="2022-12-01T00:00:00"/>
    <d v="2022-12-31T00:00:00"/>
    <n v="-16"/>
    <s v="01-FN01-00002940"/>
    <n v="20524088810"/>
    <s v="AVIVEL SAC"/>
    <x v="0"/>
    <s v="US$"/>
    <n v="0"/>
    <n v="460.2"/>
    <x v="5"/>
    <x v="8"/>
  </r>
  <r>
    <d v="2022-12-01T00:00:00"/>
    <d v="2022-12-31T00:00:00"/>
    <n v="-16"/>
    <s v="01-FN01-00002944"/>
    <n v="20467089464"/>
    <s v="FUMINSUMOS S.R.L."/>
    <x v="4"/>
    <s v="US$"/>
    <n v="0"/>
    <n v="665.52"/>
    <x v="5"/>
    <x v="8"/>
  </r>
  <r>
    <d v="2022-11-16T00:00:00"/>
    <d v="2022-12-31T00:00:00"/>
    <n v="-16"/>
    <s v="01-FN01-00002723"/>
    <n v="20534406496"/>
    <s v="GRANJA AVICOLA REC S.A.C."/>
    <x v="0"/>
    <s v="S/"/>
    <n v="22805.03"/>
    <n v="0"/>
    <x v="5"/>
    <x v="8"/>
  </r>
  <r>
    <d v="2022-12-01T00:00:00"/>
    <d v="2022-12-31T00:00:00"/>
    <n v="-16"/>
    <s v="01-FN01-00002938"/>
    <n v="20393514630"/>
    <s v="MULTIGRANJAS SERLAN S.A.C."/>
    <x v="2"/>
    <s v="US$"/>
    <n v="0"/>
    <n v="3327.6"/>
    <x v="5"/>
    <x v="8"/>
  </r>
  <r>
    <d v="2022-12-01T00:00:00"/>
    <d v="2022-12-31T00:00:00"/>
    <n v="-16"/>
    <s v="01-FN01-00002946"/>
    <n v="20516083647"/>
    <s v="PONEDORAS S.A.C."/>
    <x v="1"/>
    <s v="S/"/>
    <n v="9204"/>
    <n v="0"/>
    <x v="5"/>
    <x v="8"/>
  </r>
  <r>
    <d v="2022-12-01T00:00:00"/>
    <d v="2022-12-31T00:00:00"/>
    <n v="-16"/>
    <s v="01-FN01-00002947"/>
    <n v="20516083647"/>
    <s v="PONEDORAS S.A.C."/>
    <x v="1"/>
    <s v="S/"/>
    <n v="9204"/>
    <n v="0"/>
    <x v="5"/>
    <x v="8"/>
  </r>
  <r>
    <d v="2022-12-01T00:00:00"/>
    <d v="2022-12-31T00:00:00"/>
    <n v="-16"/>
    <s v="01-FN01-00002943"/>
    <n v="20494090954"/>
    <s v="R &amp; R SAN ISIDRO S.A.C"/>
    <x v="2"/>
    <s v="US$"/>
    <n v="0"/>
    <n v="1327.5"/>
    <x v="5"/>
    <x v="8"/>
  </r>
  <r>
    <d v="2022-12-02T00:00:00"/>
    <d v="2023-01-01T00:00:00"/>
    <n v="-17"/>
    <s v="01-FN01-00002967"/>
    <n v="20524088810"/>
    <s v="AVIVEL SAC"/>
    <x v="0"/>
    <s v="US$"/>
    <n v="0"/>
    <n v="531"/>
    <x v="5"/>
    <x v="9"/>
  </r>
  <r>
    <d v="2022-12-02T00:00:00"/>
    <d v="2023-01-01T00:00:00"/>
    <n v="-17"/>
    <s v="01-FN01-00002956"/>
    <n v="20563407426"/>
    <s v="CERDOS SUR PERÚ S.A. - CERSUR S.A."/>
    <x v="0"/>
    <s v="S/"/>
    <n v="18408"/>
    <n v="0"/>
    <x v="5"/>
    <x v="9"/>
  </r>
  <r>
    <d v="2022-11-02T00:00:00"/>
    <d v="2023-01-01T00:00:00"/>
    <n v="-17"/>
    <s v="01-FN01-00002490"/>
    <n v="20155261570"/>
    <s v="GRUPO SANTA ELENA S.A."/>
    <x v="0"/>
    <s v="S/"/>
    <n v="1847.88"/>
    <n v="0"/>
    <x v="5"/>
    <x v="9"/>
  </r>
  <r>
    <d v="2022-12-02T00:00:00"/>
    <d v="2023-01-01T00:00:00"/>
    <n v="-17"/>
    <s v="01-FN01-00002958"/>
    <n v="20600612671"/>
    <s v="MOLISERVICE EL CHOTANO E.I.R.L."/>
    <x v="0"/>
    <s v="US$"/>
    <n v="0"/>
    <n v="166.38"/>
    <x v="5"/>
    <x v="9"/>
  </r>
  <r>
    <d v="2022-12-02T00:00:00"/>
    <d v="2023-01-01T00:00:00"/>
    <n v="-17"/>
    <s v="01-FN01-00002959"/>
    <n v="20600612671"/>
    <s v="MOLISERVICE EL CHOTANO E.I.R.L."/>
    <x v="0"/>
    <s v="S/"/>
    <n v="1026.5999999999999"/>
    <n v="0"/>
    <x v="5"/>
    <x v="9"/>
  </r>
  <r>
    <d v="2022-11-17T00:00:00"/>
    <d v="2023-01-01T00:00:00"/>
    <n v="-17"/>
    <s v="01-FN01-00002739"/>
    <n v="20393514630"/>
    <s v="MULTIGRANJAS SERLAN S.A.C."/>
    <x v="2"/>
    <s v="S/"/>
    <n v="22715"/>
    <n v="0"/>
    <x v="5"/>
    <x v="9"/>
  </r>
  <r>
    <d v="2022-11-02T00:00:00"/>
    <d v="2023-01-01T00:00:00"/>
    <n v="-17"/>
    <s v="01-FN01-00002494"/>
    <n v="20505120702"/>
    <s v="TECNICA AVICOLA S.A."/>
    <x v="5"/>
    <s v="S/"/>
    <n v="3492.8"/>
    <n v="0"/>
    <x v="5"/>
    <x v="9"/>
  </r>
  <r>
    <d v="2022-11-02T00:00:00"/>
    <d v="2023-01-01T00:00:00"/>
    <n v="-17"/>
    <s v="01-FN01-00002508"/>
    <n v="20609609711"/>
    <s v="VILLA ESMERALDA S.A.C."/>
    <x v="0"/>
    <s v="S/"/>
    <n v="12155.53"/>
    <n v="0"/>
    <x v="5"/>
    <x v="9"/>
  </r>
  <r>
    <d v="2022-12-03T00:00:00"/>
    <d v="2023-01-02T00:00:00"/>
    <n v="-18"/>
    <s v="01-FN01-00002969"/>
    <n v="20131589086"/>
    <s v="MOLINO LA PERLA S.A.C."/>
    <x v="5"/>
    <s v="US$"/>
    <n v="0"/>
    <n v="157.24"/>
    <x v="5"/>
    <x v="9"/>
  </r>
  <r>
    <d v="2022-11-04T00:00:00"/>
    <d v="2023-01-03T00:00:00"/>
    <n v="-19"/>
    <s v="01-FN01-00002542"/>
    <n v="20506322708"/>
    <s v="GRANJA HUERTO SAN MARTIN DE PORRES SAC"/>
    <x v="0"/>
    <s v="US$"/>
    <n v="0"/>
    <n v="1222.01"/>
    <x v="5"/>
    <x v="9"/>
  </r>
  <r>
    <d v="2022-12-05T00:00:00"/>
    <d v="2023-01-04T00:00:00"/>
    <n v="-20"/>
    <s v="01-FN01-00002974"/>
    <n v="20555931914"/>
    <s v="AGROCORPORACION SAN DIEGO S.A.C."/>
    <x v="1"/>
    <s v="US$"/>
    <n v="0"/>
    <n v="847.24"/>
    <x v="5"/>
    <x v="9"/>
  </r>
  <r>
    <d v="2022-12-05T00:00:00"/>
    <d v="2023-01-04T00:00:00"/>
    <n v="-20"/>
    <s v="01-FN01-00002990"/>
    <n v="20458642789"/>
    <s v="AGROPECUARIA ANGUS S.A."/>
    <x v="0"/>
    <s v="US$"/>
    <n v="0"/>
    <n v="1993.02"/>
    <x v="5"/>
    <x v="9"/>
  </r>
  <r>
    <d v="2022-12-05T00:00:00"/>
    <d v="2023-01-04T00:00:00"/>
    <n v="-20"/>
    <s v="01-FN01-00002983"/>
    <n v="20320731314"/>
    <s v="AGROPECUARIA DOÑA SILVIA S.R.L."/>
    <x v="1"/>
    <s v="S/"/>
    <n v="17700"/>
    <n v="0"/>
    <x v="5"/>
    <x v="9"/>
  </r>
  <r>
    <d v="2022-12-05T00:00:00"/>
    <d v="2023-01-04T00:00:00"/>
    <n v="-20"/>
    <s v="01-FN01-00002992"/>
    <n v="20104508023"/>
    <s v="AGROPECUARIA RIO BRAVO HNOS S.A.C."/>
    <x v="0"/>
    <s v="S/"/>
    <n v="11499.99"/>
    <n v="0"/>
    <x v="5"/>
    <x v="9"/>
  </r>
  <r>
    <d v="2022-12-05T00:00:00"/>
    <d v="2023-01-04T00:00:00"/>
    <n v="-20"/>
    <s v="01-FN01-00002994"/>
    <n v="20104508023"/>
    <s v="AGROPECUARIA RIO BRAVO HNOS S.A.C."/>
    <x v="0"/>
    <s v="S/"/>
    <n v="353.24"/>
    <n v="0"/>
    <x v="5"/>
    <x v="9"/>
  </r>
  <r>
    <d v="2022-12-05T00:00:00"/>
    <d v="2023-01-04T00:00:00"/>
    <n v="-20"/>
    <s v="01-FN01-00002993"/>
    <n v="20104508023"/>
    <s v="AGROPECUARIA RIO BRAVO HNOS S.A.C."/>
    <x v="0"/>
    <s v="S/"/>
    <n v="1015.58"/>
    <n v="0"/>
    <x v="5"/>
    <x v="9"/>
  </r>
  <r>
    <d v="2022-12-05T00:00:00"/>
    <d v="2023-01-04T00:00:00"/>
    <n v="-20"/>
    <s v="01-FN01-00002976"/>
    <n v="20609301121"/>
    <s v="AVICOLA LAS PIEDRITAS S.A.C."/>
    <x v="1"/>
    <s v="S/"/>
    <n v="1386.74"/>
    <n v="0"/>
    <x v="5"/>
    <x v="9"/>
  </r>
  <r>
    <d v="2022-12-05T00:00:00"/>
    <d v="2023-01-04T00:00:00"/>
    <n v="-20"/>
    <s v="01-FN01-00002975"/>
    <n v="20555873531"/>
    <s v="BIO SAFE S.A.C."/>
    <x v="2"/>
    <s v="US$"/>
    <n v="0"/>
    <n v="346.92"/>
    <x v="5"/>
    <x v="9"/>
  </r>
  <r>
    <d v="2022-12-05T00:00:00"/>
    <d v="2023-01-04T00:00:00"/>
    <n v="-20"/>
    <s v="01-FN01-00002980"/>
    <n v="20604400679"/>
    <s v="COBB PERU (ANDINA) S.A.C."/>
    <x v="1"/>
    <s v="US$"/>
    <n v="0"/>
    <n v="285.08999999999997"/>
    <x v="5"/>
    <x v="9"/>
  </r>
  <r>
    <d v="2022-12-05T00:00:00"/>
    <d v="2023-01-04T00:00:00"/>
    <n v="-20"/>
    <s v="01-FN01-00002987"/>
    <n v="20534627310"/>
    <s v="INVERSIONES AGROINDUSTRIALES ANCALU S.A.C."/>
    <x v="0"/>
    <s v="S/"/>
    <n v="5715.92"/>
    <n v="0"/>
    <x v="5"/>
    <x v="9"/>
  </r>
  <r>
    <d v="2022-12-05T00:00:00"/>
    <d v="2023-01-04T00:00:00"/>
    <n v="-20"/>
    <s v="01-FN01-00002988"/>
    <n v="20534627310"/>
    <s v="INVERSIONES AGROINDUSTRIALES ANCALU S.A.C."/>
    <x v="0"/>
    <s v="S/"/>
    <n v="10199.92"/>
    <n v="0"/>
    <x v="5"/>
    <x v="9"/>
  </r>
  <r>
    <d v="2022-12-05T00:00:00"/>
    <d v="2023-01-04T00:00:00"/>
    <n v="-20"/>
    <s v="01-FN01-00002973"/>
    <n v="20131589086"/>
    <s v="MOLINO LA PERLA S.A.C."/>
    <x v="5"/>
    <s v="US$"/>
    <n v="0"/>
    <n v="531"/>
    <x v="5"/>
    <x v="9"/>
  </r>
  <r>
    <d v="2022-12-05T00:00:00"/>
    <d v="2023-01-04T00:00:00"/>
    <n v="-20"/>
    <s v="01-FN01-00002972"/>
    <n v="20131589086"/>
    <s v="MOLINO LA PERLA S.A.C."/>
    <x v="5"/>
    <s v="US$"/>
    <n v="0"/>
    <n v="1770"/>
    <x v="5"/>
    <x v="9"/>
  </r>
  <r>
    <d v="2022-12-05T00:00:00"/>
    <d v="2023-01-04T00:00:00"/>
    <n v="-20"/>
    <s v="01-FN01-00002978"/>
    <n v="20491358743"/>
    <s v="REPRODUCTORAS ROMA S.A.C."/>
    <x v="0"/>
    <s v="US$"/>
    <n v="0"/>
    <n v="1540.44"/>
    <x v="5"/>
    <x v="9"/>
  </r>
  <r>
    <d v="2022-12-05T00:00:00"/>
    <d v="2023-01-04T00:00:00"/>
    <n v="-20"/>
    <s v="01-FN01-00002995"/>
    <n v="20509090697"/>
    <s v="SANRAN S.A.C."/>
    <x v="1"/>
    <s v="S/"/>
    <n v="1939.78"/>
    <n v="0"/>
    <x v="5"/>
    <x v="9"/>
  </r>
  <r>
    <d v="2022-12-06T00:00:00"/>
    <d v="2023-01-05T00:00:00"/>
    <n v="-21"/>
    <s v="01-FN01-00003015"/>
    <n v="20608551264"/>
    <s v="ACAMSA S.A.C"/>
    <x v="2"/>
    <s v="S/"/>
    <n v="8977.7900000000009"/>
    <n v="0"/>
    <x v="5"/>
    <x v="9"/>
  </r>
  <r>
    <d v="2022-12-06T00:00:00"/>
    <d v="2023-01-05T00:00:00"/>
    <n v="-21"/>
    <s v="01-FN01-00003009"/>
    <n v="20481460159"/>
    <s v="NOVAFARMA S.A.C."/>
    <x v="5"/>
    <s v="S/"/>
    <n v="1515.77"/>
    <n v="0"/>
    <x v="5"/>
    <x v="9"/>
  </r>
  <r>
    <d v="2022-09-12T00:00:00"/>
    <d v="2023-01-05T00:00:00"/>
    <n v="-21"/>
    <s v="01-E001-00000553"/>
    <n v="20100154308"/>
    <s v="SAN FERNANDO S.A."/>
    <x v="1"/>
    <s v="S/"/>
    <n v="5960.18"/>
    <n v="0"/>
    <x v="5"/>
    <x v="9"/>
  </r>
  <r>
    <d v="2022-12-07T00:00:00"/>
    <d v="2023-01-06T00:00:00"/>
    <n v="-22"/>
    <s v="01-FN01-00003038"/>
    <n v="20449226144"/>
    <s v="A.T.C. COMERCIAL S.A.C."/>
    <x v="3"/>
    <s v="S/"/>
    <n v="3079.8"/>
    <n v="0"/>
    <x v="5"/>
    <x v="9"/>
  </r>
  <r>
    <d v="2022-12-07T00:00:00"/>
    <d v="2023-01-06T00:00:00"/>
    <n v="-22"/>
    <s v="01-FN01-00003040"/>
    <n v="20608551264"/>
    <s v="ACAMSA S.A.C"/>
    <x v="2"/>
    <s v="S/"/>
    <n v="11181.4"/>
    <n v="0"/>
    <x v="5"/>
    <x v="9"/>
  </r>
  <r>
    <d v="2022-12-07T00:00:00"/>
    <d v="2023-01-06T00:00:00"/>
    <n v="-22"/>
    <s v="01-FN01-00003031"/>
    <n v="20450489698"/>
    <s v="AGROPECUARIA AVICOLA SAN CARLOS E.I.R.L."/>
    <x v="2"/>
    <s v="S/"/>
    <n v="1873.84"/>
    <n v="0"/>
    <x v="5"/>
    <x v="9"/>
  </r>
  <r>
    <d v="2022-12-07T00:00:00"/>
    <d v="2023-01-06T00:00:00"/>
    <n v="-22"/>
    <s v="01-FN01-00003032"/>
    <n v="20607517747"/>
    <s v="AGROPECUARIA RIO S.A.C."/>
    <x v="2"/>
    <s v="US$"/>
    <n v="0"/>
    <n v="188.8"/>
    <x v="5"/>
    <x v="9"/>
  </r>
  <r>
    <d v="2022-12-07T00:00:00"/>
    <d v="2023-01-06T00:00:00"/>
    <n v="-22"/>
    <s v="01-FN01-00003034"/>
    <n v="20600678397"/>
    <s v="AVICOLA DON QUIJOTE EIRL"/>
    <x v="3"/>
    <s v="S/"/>
    <n v="41418"/>
    <n v="0"/>
    <x v="5"/>
    <x v="9"/>
  </r>
  <r>
    <d v="2022-11-07T00:00:00"/>
    <d v="2023-01-06T00:00:00"/>
    <n v="-22"/>
    <s v="01-FN01-00002568"/>
    <n v="20132373958"/>
    <s v="CHIMU AGROPECUARIA S.A."/>
    <x v="5"/>
    <s v="US$"/>
    <n v="0"/>
    <n v="52288.160000000003"/>
    <x v="5"/>
    <x v="9"/>
  </r>
  <r>
    <d v="2022-11-07T00:00:00"/>
    <d v="2023-01-06T00:00:00"/>
    <n v="-22"/>
    <s v="01-FN01-00002552"/>
    <n v="20506421781"/>
    <s v="CORPORACION RICO S.A.C."/>
    <x v="3"/>
    <s v="US$"/>
    <n v="0"/>
    <n v="8424.2099999999991"/>
    <x v="5"/>
    <x v="9"/>
  </r>
  <r>
    <d v="2022-11-07T00:00:00"/>
    <d v="2023-01-06T00:00:00"/>
    <n v="-22"/>
    <s v="01-FN01-00002553"/>
    <n v="20506421781"/>
    <s v="CORPORACION RICO S.A.C."/>
    <x v="3"/>
    <s v="US$"/>
    <n v="0"/>
    <n v="6329.33"/>
    <x v="5"/>
    <x v="9"/>
  </r>
  <r>
    <d v="2022-11-07T00:00:00"/>
    <d v="2023-01-06T00:00:00"/>
    <n v="-22"/>
    <s v="01-FN01-00002562"/>
    <n v="20494022797"/>
    <s v="DEMETRIOS CHICKEN S.A.C"/>
    <x v="2"/>
    <s v="S/"/>
    <n v="6473.78"/>
    <n v="0"/>
    <x v="5"/>
    <x v="9"/>
  </r>
  <r>
    <d v="2022-11-07T00:00:00"/>
    <d v="2023-01-06T00:00:00"/>
    <n v="-22"/>
    <s v="01-FN01-00002560"/>
    <n v="20494022797"/>
    <s v="DEMETRIOS CHICKEN S.A.C"/>
    <x v="2"/>
    <s v="S/"/>
    <n v="15742.11"/>
    <n v="0"/>
    <x v="5"/>
    <x v="9"/>
  </r>
  <r>
    <d v="2022-11-07T00:00:00"/>
    <d v="2023-01-06T00:00:00"/>
    <n v="-22"/>
    <s v="01-FN01-00002561"/>
    <n v="20494022797"/>
    <s v="DEMETRIOS CHICKEN S.A.C"/>
    <x v="2"/>
    <s v="US$"/>
    <n v="0"/>
    <n v="122.72"/>
    <x v="5"/>
    <x v="9"/>
  </r>
  <r>
    <d v="2022-12-07T00:00:00"/>
    <d v="2023-01-06T00:00:00"/>
    <n v="-22"/>
    <s v="01-FN01-00003029"/>
    <n v="20393719100"/>
    <s v="INVERSIONES COCOROCO E.I.R.L."/>
    <x v="2"/>
    <s v="S/"/>
    <n v="1368.8"/>
    <n v="0"/>
    <x v="5"/>
    <x v="9"/>
  </r>
  <r>
    <d v="2022-12-07T00:00:00"/>
    <d v="2023-01-06T00:00:00"/>
    <n v="-22"/>
    <s v="01-FN01-00003039"/>
    <n v="20514042897"/>
    <s v="JEHOVA SHALOM SOCIEDAD ANONIMA CERRADA"/>
    <x v="3"/>
    <s v="S/"/>
    <n v="5192"/>
    <n v="0"/>
    <x v="5"/>
    <x v="9"/>
  </r>
  <r>
    <d v="2022-11-08T00:00:00"/>
    <d v="2023-01-07T00:00:00"/>
    <n v="-23"/>
    <s v="01-FN01-00002584"/>
    <n v="20506322708"/>
    <s v="GRANJA HUERTO SAN MARTIN DE PORRES SAC"/>
    <x v="0"/>
    <s v="US$"/>
    <n v="0"/>
    <n v="244.4"/>
    <x v="5"/>
    <x v="9"/>
  </r>
  <r>
    <d v="2022-11-23T00:00:00"/>
    <d v="2023-01-07T00:00:00"/>
    <n v="-23"/>
    <s v="01-FN01-00002805"/>
    <n v="20338244917"/>
    <s v="GRANJA LOS HUARANGOS SA"/>
    <x v="0"/>
    <s v="US$"/>
    <n v="0"/>
    <n v="60.77"/>
    <x v="5"/>
    <x v="9"/>
  </r>
  <r>
    <d v="2022-11-23T00:00:00"/>
    <d v="2023-01-07T00:00:00"/>
    <n v="-23"/>
    <s v="01-FN01-00002804"/>
    <n v="20338244917"/>
    <s v="GRANJA LOS HUARANGOS SA"/>
    <x v="0"/>
    <s v="US$"/>
    <n v="0"/>
    <n v="139.83000000000001"/>
    <x v="5"/>
    <x v="9"/>
  </r>
  <r>
    <d v="2022-11-08T00:00:00"/>
    <d v="2023-01-07T00:00:00"/>
    <n v="-23"/>
    <s v="01-FN01-00002599"/>
    <n v="20334218857"/>
    <s v="PRO-PREMIX NUTRICION S.R.L."/>
    <x v="2"/>
    <s v="US$"/>
    <n v="0"/>
    <n v="4366"/>
    <x v="5"/>
    <x v="9"/>
  </r>
  <r>
    <d v="2022-11-08T00:00:00"/>
    <d v="2023-01-07T00:00:00"/>
    <n v="-23"/>
    <s v="01-FN01-00002597"/>
    <n v="20221084684"/>
    <s v="REDONDOS S A"/>
    <x v="1"/>
    <s v="S/"/>
    <n v="226560"/>
    <n v="0"/>
    <x v="5"/>
    <x v="9"/>
  </r>
  <r>
    <d v="2022-11-08T00:00:00"/>
    <d v="2023-01-07T00:00:00"/>
    <n v="-23"/>
    <s v="01-FN01-00002596"/>
    <n v="20221084684"/>
    <s v="REDONDOS S A"/>
    <x v="1"/>
    <s v="US$"/>
    <n v="0"/>
    <n v="13668.53"/>
    <x v="5"/>
    <x v="9"/>
  </r>
  <r>
    <d v="2022-11-08T00:00:00"/>
    <d v="2023-01-07T00:00:00"/>
    <n v="-23"/>
    <s v="01-FN01-00002601"/>
    <n v="20609609711"/>
    <s v="VILLA ESMERALDA S.A.C."/>
    <x v="0"/>
    <s v="US$"/>
    <n v="0"/>
    <n v="1224.8399999999999"/>
    <x v="5"/>
    <x v="9"/>
  </r>
  <r>
    <d v="2022-11-08T00:00:00"/>
    <d v="2023-01-07T00:00:00"/>
    <n v="-23"/>
    <s v="01-FN01-00002600"/>
    <n v="20609609711"/>
    <s v="VILLA ESMERALDA S.A.C."/>
    <x v="0"/>
    <s v="S/"/>
    <n v="6419.2"/>
    <n v="0"/>
    <x v="5"/>
    <x v="9"/>
  </r>
  <r>
    <d v="2022-11-09T00:00:00"/>
    <d v="2023-01-08T00:00:00"/>
    <n v="-24"/>
    <s v="01-FN01-00002615"/>
    <n v="20494022797"/>
    <s v="DEMETRIOS CHICKEN S.A.C"/>
    <x v="2"/>
    <s v="S/"/>
    <n v="9151.3700000000008"/>
    <n v="0"/>
    <x v="5"/>
    <x v="9"/>
  </r>
  <r>
    <d v="2022-11-09T00:00:00"/>
    <d v="2023-01-08T00:00:00"/>
    <n v="-24"/>
    <s v="01-FN01-00002614"/>
    <n v="20506322708"/>
    <s v="GRANJA HUERTO SAN MARTIN DE PORRES SAC"/>
    <x v="0"/>
    <s v="US$"/>
    <n v="0"/>
    <n v="1053.5"/>
    <x v="5"/>
    <x v="9"/>
  </r>
  <r>
    <d v="2022-11-09T00:00:00"/>
    <d v="2023-01-08T00:00:00"/>
    <n v="-24"/>
    <s v="01-FN01-00002616"/>
    <n v="20468261082"/>
    <s v="LOS SAUCES REPRESENTACIONES S.A.C."/>
    <x v="4"/>
    <s v="S/"/>
    <n v="61.15"/>
    <n v="0"/>
    <x v="5"/>
    <x v="9"/>
  </r>
  <r>
    <d v="2022-11-25T00:00:00"/>
    <d v="2023-01-09T00:00:00"/>
    <n v="-25"/>
    <s v="01-FN01-00002835"/>
    <n v="20534406496"/>
    <s v="GRANJA AVICOLA REC S.A.C."/>
    <x v="0"/>
    <s v="S/"/>
    <n v="365.52"/>
    <n v="0"/>
    <x v="5"/>
    <x v="9"/>
  </r>
  <r>
    <d v="2022-11-10T00:00:00"/>
    <d v="2023-01-09T00:00:00"/>
    <n v="-25"/>
    <s v="01-FN01-00002636"/>
    <n v="20468261082"/>
    <s v="LOS SAUCES REPRESENTACIONES S.A.C."/>
    <x v="4"/>
    <s v="S/"/>
    <n v="5843.36"/>
    <n v="0"/>
    <x v="5"/>
    <x v="9"/>
  </r>
  <r>
    <d v="2022-11-11T00:00:00"/>
    <d v="2023-01-10T00:00:00"/>
    <n v="-26"/>
    <s v="01-FN01-00002651"/>
    <n v="20132292109"/>
    <s v="AGROPECUARIA SAN MIGUEL S.R.L."/>
    <x v="5"/>
    <s v="US$"/>
    <n v="0"/>
    <n v="631.89"/>
    <x v="5"/>
    <x v="9"/>
  </r>
  <r>
    <d v="2022-11-11T00:00:00"/>
    <d v="2023-01-10T00:00:00"/>
    <n v="-26"/>
    <s v="01-FN01-00002653"/>
    <n v="20221084684"/>
    <s v="REDONDOS S A"/>
    <x v="1"/>
    <s v="US$"/>
    <n v="0"/>
    <n v="2124"/>
    <x v="5"/>
    <x v="9"/>
  </r>
  <r>
    <d v="2022-12-12T00:00:00"/>
    <d v="2023-01-11T00:00:00"/>
    <n v="-27"/>
    <s v="01-E001-00000665"/>
    <n v="20108917521"/>
    <s v="AGRO INDUSTRIA AUCALLAMA S.R.L."/>
    <x v="1"/>
    <s v="US$"/>
    <n v="0"/>
    <n v="1341.42"/>
    <x v="5"/>
    <x v="9"/>
  </r>
  <r>
    <d v="2022-12-12T00:00:00"/>
    <d v="2023-01-11T00:00:00"/>
    <n v="-27"/>
    <s v="01-E001-00000669"/>
    <n v="20510844034"/>
    <s v="AGROINDUSTRIA EL COMEDERO S.C.R.L."/>
    <x v="0"/>
    <s v="US$"/>
    <n v="0"/>
    <n v="3508.14"/>
    <x v="5"/>
    <x v="9"/>
  </r>
  <r>
    <d v="2022-12-12T00:00:00"/>
    <d v="2023-01-11T00:00:00"/>
    <n v="-27"/>
    <s v="01-E001-00000664"/>
    <n v="20571536529"/>
    <s v="AGROPECUARIA AGUIRRE S.A.C."/>
    <x v="1"/>
    <s v="US$"/>
    <n v="0"/>
    <n v="494.42"/>
    <x v="5"/>
    <x v="9"/>
  </r>
  <r>
    <d v="2022-12-12T00:00:00"/>
    <d v="2023-01-11T00:00:00"/>
    <n v="-27"/>
    <s v="01-E001-00000678"/>
    <n v="20602565786"/>
    <s v="ASR PECUARIA S.A.C. - ASRP S.A.C."/>
    <x v="1"/>
    <s v="S/"/>
    <n v="649"/>
    <n v="0"/>
    <x v="5"/>
    <x v="9"/>
  </r>
  <r>
    <d v="2022-12-12T00:00:00"/>
    <d v="2023-01-11T00:00:00"/>
    <n v="-27"/>
    <s v="01-E001-00000681"/>
    <n v="20602565786"/>
    <s v="ASR PECUARIA S.A.C. - ASRP S.A.C."/>
    <x v="1"/>
    <s v="S/"/>
    <n v="649"/>
    <n v="0"/>
    <x v="5"/>
    <x v="9"/>
  </r>
  <r>
    <d v="2022-12-12T00:00:00"/>
    <d v="2023-01-11T00:00:00"/>
    <n v="-27"/>
    <s v="01-E001-00000660"/>
    <n v="20454702701"/>
    <s v="AVICOLA CRISTHIAN E.I.R.L."/>
    <x v="3"/>
    <s v="US$"/>
    <n v="0"/>
    <n v="64.66"/>
    <x v="5"/>
    <x v="9"/>
  </r>
  <r>
    <d v="2022-12-12T00:00:00"/>
    <d v="2023-01-11T00:00:00"/>
    <n v="-27"/>
    <s v="01-E001-00000673"/>
    <n v="20479912425"/>
    <s v="AVICOLA FAMA EIRL"/>
    <x v="5"/>
    <s v="S/"/>
    <n v="885"/>
    <n v="0"/>
    <x v="5"/>
    <x v="9"/>
  </r>
  <r>
    <d v="2022-12-12T00:00:00"/>
    <d v="2023-01-11T00:00:00"/>
    <n v="-27"/>
    <s v="01-E001-00000671"/>
    <n v="20479912425"/>
    <s v="AVICOLA FAMA EIRL"/>
    <x v="5"/>
    <s v="S/"/>
    <n v="3209.6"/>
    <n v="0"/>
    <x v="5"/>
    <x v="9"/>
  </r>
  <r>
    <d v="2022-12-12T00:00:00"/>
    <d v="2023-01-11T00:00:00"/>
    <n v="-27"/>
    <s v="01-E001-00000672"/>
    <n v="20479912425"/>
    <s v="AVICOLA FAMA EIRL"/>
    <x v="5"/>
    <s v="US$"/>
    <n v="0"/>
    <n v="816.56"/>
    <x v="5"/>
    <x v="9"/>
  </r>
  <r>
    <d v="2022-12-12T00:00:00"/>
    <d v="2023-01-11T00:00:00"/>
    <n v="-27"/>
    <s v="01-E001-00000654"/>
    <n v="20609301121"/>
    <s v="AVICOLA LAS PIEDRITAS S.A.C."/>
    <x v="1"/>
    <s v="S/"/>
    <n v="3209.6"/>
    <n v="0"/>
    <x v="5"/>
    <x v="9"/>
  </r>
  <r>
    <d v="2022-12-12T00:00:00"/>
    <d v="2023-01-11T00:00:00"/>
    <n v="-27"/>
    <s v="01-E001-00000655"/>
    <n v="20609301121"/>
    <s v="AVICOLA LAS PIEDRITAS S.A.C."/>
    <x v="1"/>
    <s v="US$"/>
    <n v="0"/>
    <n v="415.36"/>
    <x v="5"/>
    <x v="9"/>
  </r>
  <r>
    <d v="2022-12-12T00:00:00"/>
    <d v="2023-01-11T00:00:00"/>
    <n v="-27"/>
    <s v="01-E001-00000666"/>
    <n v="20550756031"/>
    <s v="G &amp; H SERVICIOS INDUSTRIALES S.A.C."/>
    <x v="1"/>
    <s v="US$"/>
    <n v="0"/>
    <n v="371.7"/>
    <x v="5"/>
    <x v="9"/>
  </r>
  <r>
    <d v="2022-12-12T00:00:00"/>
    <d v="2023-01-11T00:00:00"/>
    <n v="-27"/>
    <s v="01-E001-00000676"/>
    <n v="20136241789"/>
    <s v="GRANJAS AMAZONICAS S.A.C"/>
    <x v="3"/>
    <s v="US$"/>
    <n v="0"/>
    <n v="554.6"/>
    <x v="5"/>
    <x v="9"/>
  </r>
  <r>
    <d v="2022-12-12T00:00:00"/>
    <d v="2023-01-11T00:00:00"/>
    <n v="-27"/>
    <s v="01-E001-00000661"/>
    <n v="20558566567"/>
    <s v="INTEGRACION LDCH S.A.C."/>
    <x v="3"/>
    <s v="US$"/>
    <n v="0"/>
    <n v="306.8"/>
    <x v="5"/>
    <x v="9"/>
  </r>
  <r>
    <d v="2022-12-12T00:00:00"/>
    <d v="2023-01-11T00:00:00"/>
    <n v="-27"/>
    <s v="01-E001-00000662"/>
    <n v="20393719100"/>
    <s v="INVERSIONES COCOROCO E.I.R.L."/>
    <x v="2"/>
    <s v="US$"/>
    <n v="0"/>
    <n v="1003"/>
    <x v="5"/>
    <x v="9"/>
  </r>
  <r>
    <d v="2022-12-12T00:00:00"/>
    <d v="2023-01-11T00:00:00"/>
    <n v="-27"/>
    <s v="01-E001-00000657"/>
    <n v="10429225413"/>
    <s v="MASHCO HUERTA JUAN CARLOS"/>
    <x v="1"/>
    <s v="US$"/>
    <n v="0"/>
    <n v="839.45"/>
    <x v="5"/>
    <x v="9"/>
  </r>
  <r>
    <d v="2022-09-13T00:00:00"/>
    <d v="2023-01-11T00:00:00"/>
    <n v="-27"/>
    <s v="01-FN01-00001919"/>
    <n v="20100154308"/>
    <s v="SAN FERNANDO S.A."/>
    <x v="1"/>
    <s v="S/"/>
    <n v="474.95"/>
    <n v="0"/>
    <x v="5"/>
    <x v="9"/>
  </r>
  <r>
    <d v="2022-12-13T00:00:00"/>
    <d v="2023-01-12T00:00:00"/>
    <n v="-28"/>
    <s v="01-E001-00000683"/>
    <n v="20534760231"/>
    <s v="AGRICOLA GANADERA LAS CANELAS SOCIEDAD ANONIMA CERRADA"/>
    <x v="0"/>
    <s v="US$"/>
    <n v="0"/>
    <n v="1554.77"/>
    <x v="5"/>
    <x v="9"/>
  </r>
  <r>
    <d v="2022-12-13T00:00:00"/>
    <d v="2023-01-12T00:00:00"/>
    <n v="-28"/>
    <s v="01-E001-00000689"/>
    <n v="20320731314"/>
    <s v="AGROPECUARIA DOÑA SILVIA S.R.L."/>
    <x v="1"/>
    <s v="S/"/>
    <n v="35400"/>
    <n v="0"/>
    <x v="5"/>
    <x v="9"/>
  </r>
  <r>
    <d v="2022-12-13T00:00:00"/>
    <d v="2023-01-12T00:00:00"/>
    <n v="-28"/>
    <s v="01-E001-00000684"/>
    <n v="20204844381"/>
    <s v="EL ROCIO S.A."/>
    <x v="5"/>
    <s v="US$"/>
    <n v="0"/>
    <n v="1739.56"/>
    <x v="5"/>
    <x v="9"/>
  </r>
  <r>
    <d v="2022-12-13T00:00:00"/>
    <d v="2023-01-12T00:00:00"/>
    <n v="-28"/>
    <s v="01-E001-00000692"/>
    <n v="20550756031"/>
    <s v="G &amp; H SERVICIOS INDUSTRIALES S.A.C."/>
    <x v="1"/>
    <s v="S/"/>
    <n v="778.8"/>
    <n v="0"/>
    <x v="5"/>
    <x v="9"/>
  </r>
  <r>
    <d v="2022-12-13T00:00:00"/>
    <d v="2023-01-12T00:00:00"/>
    <n v="-28"/>
    <s v="01-E001-00000693"/>
    <n v="20550756031"/>
    <s v="G &amp; H SERVICIOS INDUSTRIALES S.A.C."/>
    <x v="1"/>
    <s v="US$"/>
    <n v="0"/>
    <n v="280.55"/>
    <x v="5"/>
    <x v="9"/>
  </r>
  <r>
    <d v="2022-12-13T00:00:00"/>
    <d v="2023-01-12T00:00:00"/>
    <n v="-28"/>
    <s v="01-E001-00000696"/>
    <n v="20338244917"/>
    <s v="GRANJA LOS HUARANGOS SA"/>
    <x v="0"/>
    <s v="US$"/>
    <n v="0"/>
    <n v="60.77"/>
    <x v="5"/>
    <x v="9"/>
  </r>
  <r>
    <d v="2022-12-13T00:00:00"/>
    <d v="2023-01-12T00:00:00"/>
    <n v="-28"/>
    <s v="01-E001-00000695"/>
    <n v="20338244917"/>
    <s v="GRANJA LOS HUARANGOS SA"/>
    <x v="0"/>
    <s v="US$"/>
    <n v="0"/>
    <n v="472.59"/>
    <x v="5"/>
    <x v="9"/>
  </r>
  <r>
    <d v="2022-12-13T00:00:00"/>
    <d v="2023-01-12T00:00:00"/>
    <n v="-28"/>
    <s v="01-E001-00000691"/>
    <n v="20601311110"/>
    <s v="MOLINERA GOOD NUTRITION S.A.C."/>
    <x v="1"/>
    <s v="US$"/>
    <n v="0"/>
    <n v="206.21"/>
    <x v="5"/>
    <x v="9"/>
  </r>
  <r>
    <d v="2022-11-28T00:00:00"/>
    <d v="2023-01-12T00:00:00"/>
    <n v="-28"/>
    <s v="01-FN01-00002870"/>
    <n v="20393514630"/>
    <s v="MULTIGRANJAS SERLAN S.A.C."/>
    <x v="2"/>
    <s v="S/"/>
    <n v="5223.62"/>
    <n v="0"/>
    <x v="5"/>
    <x v="9"/>
  </r>
  <r>
    <d v="2022-11-28T00:00:00"/>
    <d v="2023-01-12T00:00:00"/>
    <n v="-28"/>
    <s v="01-FN01-00002872"/>
    <n v="20393514630"/>
    <s v="MULTIGRANJAS SERLAN S.A.C."/>
    <x v="2"/>
    <s v="S/"/>
    <n v="6529.53"/>
    <n v="0"/>
    <x v="5"/>
    <x v="9"/>
  </r>
  <r>
    <d v="2022-12-14T00:00:00"/>
    <d v="2023-01-13T00:00:00"/>
    <n v="-29"/>
    <s v="01-E001-00000720"/>
    <n v="20104508023"/>
    <s v="AGROPECUARIA RIO BRAVO HNOS S.A.C."/>
    <x v="0"/>
    <s v="S/"/>
    <n v="838.96"/>
    <n v="0"/>
    <x v="5"/>
    <x v="9"/>
  </r>
  <r>
    <d v="2022-12-14T00:00:00"/>
    <d v="2023-01-13T00:00:00"/>
    <n v="-29"/>
    <s v="01-E001-00000721"/>
    <n v="20104508023"/>
    <s v="AGROPECUARIA RIO BRAVO HNOS S.A.C."/>
    <x v="0"/>
    <s v="S/"/>
    <n v="13238.64"/>
    <n v="0"/>
    <x v="5"/>
    <x v="9"/>
  </r>
  <r>
    <d v="2022-12-14T00:00:00"/>
    <d v="2023-01-13T00:00:00"/>
    <n v="-29"/>
    <s v="01-E001-00000704"/>
    <n v="20607517747"/>
    <s v="AGROPECUARIA RIO S.A.C."/>
    <x v="2"/>
    <s v="US$"/>
    <n v="0"/>
    <n v="9340.8799999999992"/>
    <x v="5"/>
    <x v="9"/>
  </r>
  <r>
    <d v="2022-11-14T00:00:00"/>
    <d v="2023-01-13T00:00:00"/>
    <n v="-29"/>
    <s v="01-FN01-00002664"/>
    <n v="20487823377"/>
    <s v="AVICOLA LAGUNAS S.A.C."/>
    <x v="5"/>
    <s v="S/"/>
    <n v="541.38"/>
    <n v="0"/>
    <x v="5"/>
    <x v="9"/>
  </r>
  <r>
    <d v="2022-11-29T00:00:00"/>
    <d v="2023-01-13T00:00:00"/>
    <n v="-29"/>
    <s v="01-FN01-00002883"/>
    <n v="20534406496"/>
    <s v="GRANJA AVICOLA REC S.A.C."/>
    <x v="0"/>
    <s v="US$"/>
    <n v="0"/>
    <n v="1121"/>
    <x v="5"/>
    <x v="9"/>
  </r>
  <r>
    <d v="2022-12-14T00:00:00"/>
    <d v="2023-01-13T00:00:00"/>
    <n v="-29"/>
    <s v="01-E001-00000701"/>
    <n v="20600272200"/>
    <s v="INVERSIONES Y NEGOCIACIONES PLUMIFERO E.I.R.L."/>
    <x v="3"/>
    <s v="S/"/>
    <n v="5940.59"/>
    <n v="0"/>
    <x v="5"/>
    <x v="9"/>
  </r>
  <r>
    <d v="2022-11-14T00:00:00"/>
    <d v="2023-01-13T00:00:00"/>
    <n v="-29"/>
    <s v="01-FN01-00002663"/>
    <n v="20601433584"/>
    <s v="INVET PERU E.I.R.L."/>
    <x v="5"/>
    <s v="US$"/>
    <n v="0"/>
    <n v="420.74"/>
    <x v="5"/>
    <x v="9"/>
  </r>
  <r>
    <d v="2022-11-14T00:00:00"/>
    <d v="2023-01-13T00:00:00"/>
    <n v="-29"/>
    <s v="01-FN01-00002673"/>
    <n v="20468261082"/>
    <s v="LOS SAUCES REPRESENTACIONES S.A.C."/>
    <x v="4"/>
    <s v="S/"/>
    <n v="1022.59"/>
    <n v="0"/>
    <x v="5"/>
    <x v="9"/>
  </r>
  <r>
    <d v="2022-12-14T00:00:00"/>
    <d v="2023-01-13T00:00:00"/>
    <n v="-29"/>
    <s v="01-E001-00000705"/>
    <n v="20430998766"/>
    <s v="OVOFRES S.A.C."/>
    <x v="1"/>
    <s v="S/"/>
    <n v="1415.26"/>
    <n v="0"/>
    <x v="5"/>
    <x v="9"/>
  </r>
  <r>
    <d v="2022-12-14T00:00:00"/>
    <d v="2023-01-13T00:00:00"/>
    <n v="-29"/>
    <s v="01-E001-00000703"/>
    <n v="20516083647"/>
    <s v="PONEDORAS S.A.C."/>
    <x v="1"/>
    <s v="S/"/>
    <n v="8283.6"/>
    <n v="0"/>
    <x v="5"/>
    <x v="9"/>
  </r>
  <r>
    <d v="2022-11-14T00:00:00"/>
    <d v="2023-01-13T00:00:00"/>
    <n v="-29"/>
    <s v="01-FN01-00002670"/>
    <n v="20505120702"/>
    <s v="TECNICA AVICOLA S.A."/>
    <x v="5"/>
    <s v="US$"/>
    <n v="0"/>
    <n v="181.7"/>
    <x v="5"/>
    <x v="9"/>
  </r>
  <r>
    <d v="2022-11-30T00:00:00"/>
    <d v="2023-01-14T00:00:00"/>
    <n v="-30"/>
    <s v="01-FN01-00002913"/>
    <n v="20534406496"/>
    <s v="GRANJA AVICOLA REC S.A.C."/>
    <x v="0"/>
    <s v="S/"/>
    <n v="3209.6"/>
    <n v="0"/>
    <x v="5"/>
    <x v="9"/>
  </r>
  <r>
    <d v="2022-11-15T00:00:00"/>
    <d v="2023-01-14T00:00:00"/>
    <n v="-30"/>
    <s v="01-FN01-00002711"/>
    <n v="20468261082"/>
    <s v="LOS SAUCES REPRESENTACIONES S.A.C."/>
    <x v="4"/>
    <s v="S/"/>
    <n v="21580.62"/>
    <n v="0"/>
    <x v="5"/>
    <x v="9"/>
  </r>
  <r>
    <d v="2022-11-15T00:00:00"/>
    <d v="2023-01-14T00:00:00"/>
    <n v="-30"/>
    <s v="01-FN01-00002701"/>
    <n v="20600109881"/>
    <s v="NUTRIPRODUCTOS SANTA ANA S.A.C."/>
    <x v="0"/>
    <s v="S/"/>
    <n v="35141.879999999997"/>
    <n v="0"/>
    <x v="5"/>
    <x v="9"/>
  </r>
  <r>
    <d v="2022-11-15T00:00:00"/>
    <d v="2023-01-14T00:00:00"/>
    <n v="-30"/>
    <s v="01-FN01-00002699"/>
    <n v="20221084684"/>
    <s v="REDONDOS S A"/>
    <x v="1"/>
    <s v="US$"/>
    <n v="0"/>
    <n v="1203.5999999999999"/>
    <x v="5"/>
    <x v="9"/>
  </r>
  <r>
    <d v="2022-11-16T00:00:00"/>
    <d v="2023-01-15T00:00:00"/>
    <n v="-31"/>
    <s v="01-FN01-00002720"/>
    <n v="20468261082"/>
    <s v="LOS SAUCES REPRESENTACIONES S.A.C."/>
    <x v="4"/>
    <s v="S/"/>
    <n v="740.57"/>
    <n v="0"/>
    <x v="5"/>
    <x v="9"/>
  </r>
  <r>
    <d v="2022-12-01T00:00:00"/>
    <d v="2023-01-15T00:00:00"/>
    <n v="-31"/>
    <s v="01-FN01-00002934"/>
    <n v="20600109881"/>
    <s v="NUTRIPRODUCTOS SANTA ANA S.A.C."/>
    <x v="0"/>
    <s v="S/"/>
    <n v="12854.54"/>
    <n v="0"/>
    <x v="5"/>
    <x v="9"/>
  </r>
  <r>
    <d v="2022-12-02T00:00:00"/>
    <d v="2023-01-16T00:00:00"/>
    <n v="-32"/>
    <s v="01-FN01-00002962"/>
    <n v="20542356317"/>
    <s v="AGROINVERSIONES MARIO S.A.C."/>
    <x v="2"/>
    <s v="US$"/>
    <n v="0"/>
    <n v="193.52"/>
    <x v="5"/>
    <x v="9"/>
  </r>
  <r>
    <d v="2022-12-02T00:00:00"/>
    <d v="2023-01-16T00:00:00"/>
    <n v="-32"/>
    <s v="01-FN01-00002963"/>
    <n v="20542356317"/>
    <s v="AGROINVERSIONES MARIO S.A.C."/>
    <x v="2"/>
    <s v="S/"/>
    <n v="4543"/>
    <n v="0"/>
    <x v="5"/>
    <x v="9"/>
  </r>
  <r>
    <d v="2022-11-17T00:00:00"/>
    <d v="2023-01-16T00:00:00"/>
    <n v="-32"/>
    <s v="01-FN01-00002738"/>
    <n v="20506421781"/>
    <s v="CORPORACION RICO S.A.C."/>
    <x v="3"/>
    <s v="US$"/>
    <n v="0"/>
    <n v="335.66"/>
    <x v="5"/>
    <x v="9"/>
  </r>
  <r>
    <d v="2022-11-17T00:00:00"/>
    <d v="2023-01-16T00:00:00"/>
    <n v="-32"/>
    <s v="01-FN01-00002733"/>
    <n v="20506421781"/>
    <s v="CORPORACION RICO S.A.C."/>
    <x v="3"/>
    <s v="US$"/>
    <n v="0"/>
    <n v="283.2"/>
    <x v="5"/>
    <x v="9"/>
  </r>
  <r>
    <d v="2022-12-02T00:00:00"/>
    <d v="2023-01-16T00:00:00"/>
    <n v="-32"/>
    <s v="01-FN01-00002957"/>
    <n v="20534406496"/>
    <s v="GRANJA AVICOLA REC S.A.C."/>
    <x v="0"/>
    <s v="S/"/>
    <n v="365.55"/>
    <n v="0"/>
    <x v="5"/>
    <x v="9"/>
  </r>
  <r>
    <d v="2022-11-18T00:00:00"/>
    <d v="2023-01-17T00:00:00"/>
    <n v="-33"/>
    <s v="01-FN01-00002754"/>
    <n v="20506421781"/>
    <s v="CORPORACION RICO S.A.C."/>
    <x v="3"/>
    <s v="US$"/>
    <n v="0"/>
    <n v="3840.9"/>
    <x v="5"/>
    <x v="9"/>
  </r>
  <r>
    <d v="2022-11-18T00:00:00"/>
    <d v="2023-01-17T00:00:00"/>
    <n v="-33"/>
    <s v="01-FN01-00002753"/>
    <n v="20506421781"/>
    <s v="CORPORACION RICO S.A.C."/>
    <x v="3"/>
    <s v="US$"/>
    <n v="0"/>
    <n v="6582.98"/>
    <x v="5"/>
    <x v="9"/>
  </r>
  <r>
    <d v="2022-11-18T00:00:00"/>
    <d v="2023-01-17T00:00:00"/>
    <n v="-33"/>
    <s v="01-FN01-00002752"/>
    <n v="20506421781"/>
    <s v="CORPORACION RICO S.A.C."/>
    <x v="3"/>
    <s v="US$"/>
    <n v="0"/>
    <n v="7617.76"/>
    <x v="5"/>
    <x v="9"/>
  </r>
  <r>
    <d v="2022-11-18T00:00:00"/>
    <d v="2023-01-17T00:00:00"/>
    <n v="-33"/>
    <s v="01-FN01-00002751"/>
    <n v="20506322708"/>
    <s v="GRANJA HUERTO SAN MARTIN DE PORRES SAC"/>
    <x v="0"/>
    <s v="US$"/>
    <n v="0"/>
    <n v="611"/>
    <x v="5"/>
    <x v="9"/>
  </r>
  <r>
    <d v="2022-11-18T00:00:00"/>
    <d v="2023-01-17T00:00:00"/>
    <n v="-33"/>
    <s v="01-FN01-00002757"/>
    <n v="20468261082"/>
    <s v="LOS SAUCES REPRESENTACIONES S.A.C."/>
    <x v="4"/>
    <s v="S/"/>
    <n v="511.29"/>
    <n v="0"/>
    <x v="5"/>
    <x v="9"/>
  </r>
  <r>
    <d v="2022-11-18T00:00:00"/>
    <d v="2023-01-17T00:00:00"/>
    <n v="-33"/>
    <s v="01-FN01-00002743"/>
    <n v="20468261082"/>
    <s v="LOS SAUCES REPRESENTACIONES S.A.C."/>
    <x v="4"/>
    <s v="S/"/>
    <n v="305.74"/>
    <n v="0"/>
    <x v="5"/>
    <x v="9"/>
  </r>
  <r>
    <d v="2022-11-18T00:00:00"/>
    <d v="2023-01-17T00:00:00"/>
    <n v="-33"/>
    <s v="01-FN01-00002747"/>
    <n v="20334218857"/>
    <s v="PRO-PREMIX NUTRICION S.R.L."/>
    <x v="2"/>
    <s v="US$"/>
    <n v="0"/>
    <n v="3274.5"/>
    <x v="5"/>
    <x v="9"/>
  </r>
  <r>
    <d v="2022-11-18T00:00:00"/>
    <d v="2023-01-17T00:00:00"/>
    <n v="-33"/>
    <s v="01-FN01-00002761"/>
    <n v="20221084684"/>
    <s v="REDONDOS S A"/>
    <x v="1"/>
    <s v="US$"/>
    <n v="0"/>
    <n v="1203.5999999999999"/>
    <x v="5"/>
    <x v="9"/>
  </r>
  <r>
    <d v="2022-12-05T00:00:00"/>
    <d v="2023-01-19T00:00:00"/>
    <n v="-35"/>
    <s v="01-FN01-00003001"/>
    <n v="20600194144"/>
    <s v="AVICOLA GRAN HUEVO S.A.C"/>
    <x v="0"/>
    <s v="S/"/>
    <n v="5522.4"/>
    <n v="0"/>
    <x v="5"/>
    <x v="9"/>
  </r>
  <r>
    <d v="2022-12-05T00:00:00"/>
    <d v="2023-01-19T00:00:00"/>
    <n v="-35"/>
    <s v="01-FN01-00003000"/>
    <n v="20600194144"/>
    <s v="AVICOLA GRAN HUEVO S.A.C"/>
    <x v="0"/>
    <s v="US$"/>
    <n v="0"/>
    <n v="472"/>
    <x v="5"/>
    <x v="9"/>
  </r>
  <r>
    <d v="2022-12-05T00:00:00"/>
    <d v="2023-01-19T00:00:00"/>
    <n v="-35"/>
    <s v="01-FN01-00002984"/>
    <n v="20602768512"/>
    <s v="PERULAB ECOLOGIC S.A.C."/>
    <x v="0"/>
    <s v="S/"/>
    <n v="9717.5400000000009"/>
    <n v="0"/>
    <x v="5"/>
    <x v="9"/>
  </r>
  <r>
    <d v="2022-12-06T00:00:00"/>
    <d v="2023-01-20T00:00:00"/>
    <n v="-36"/>
    <s v="01-FN01-00003007"/>
    <n v="20534406496"/>
    <s v="GRANJA AVICOLA REC S.A.C."/>
    <x v="0"/>
    <s v="S/"/>
    <n v="365.52"/>
    <n v="0"/>
    <x v="5"/>
    <x v="9"/>
  </r>
  <r>
    <d v="2022-11-21T00:00:00"/>
    <d v="2023-01-20T00:00:00"/>
    <n v="-36"/>
    <s v="01-FN01-00002780"/>
    <n v="20600728688"/>
    <s v="PECUARIA SAN FRANCISCO S.A.C."/>
    <x v="0"/>
    <s v="S/"/>
    <n v="4305.21"/>
    <n v="0"/>
    <x v="5"/>
    <x v="9"/>
  </r>
  <r>
    <d v="2022-11-21T00:00:00"/>
    <d v="2023-01-20T00:00:00"/>
    <n v="-36"/>
    <s v="01-FN01-00002765"/>
    <n v="20221084684"/>
    <s v="REDONDOS S A"/>
    <x v="1"/>
    <s v="S/"/>
    <n v="226560"/>
    <n v="0"/>
    <x v="5"/>
    <x v="9"/>
  </r>
  <r>
    <d v="2022-11-21T00:00:00"/>
    <d v="2023-01-20T00:00:00"/>
    <n v="-36"/>
    <s v="01-FN01-00002769"/>
    <n v="20609609711"/>
    <s v="VILLA ESMERALDA S.A.C."/>
    <x v="0"/>
    <s v="S/"/>
    <n v="12155.53"/>
    <n v="0"/>
    <x v="5"/>
    <x v="9"/>
  </r>
  <r>
    <d v="2022-11-22T00:00:00"/>
    <d v="2023-01-21T00:00:00"/>
    <n v="-37"/>
    <s v="01-FN01-00002798"/>
    <n v="20132373958"/>
    <s v="CHIMU AGROPECUARIA S.A."/>
    <x v="5"/>
    <s v="S/"/>
    <n v="6308.28"/>
    <n v="0"/>
    <x v="5"/>
    <x v="9"/>
  </r>
  <r>
    <d v="2022-11-24T00:00:00"/>
    <d v="2023-01-23T00:00:00"/>
    <n v="-39"/>
    <s v="01-FN01-00002815"/>
    <n v="20506421781"/>
    <s v="CORPORACION RICO S.A.C."/>
    <x v="3"/>
    <s v="US$"/>
    <n v="0"/>
    <n v="3840.9"/>
    <x v="5"/>
    <x v="9"/>
  </r>
  <r>
    <d v="2022-11-24T00:00:00"/>
    <d v="2023-01-23T00:00:00"/>
    <n v="-39"/>
    <s v="01-FN01-00002814"/>
    <n v="20506421781"/>
    <s v="CORPORACION RICO S.A.C."/>
    <x v="3"/>
    <s v="US$"/>
    <n v="0"/>
    <n v="3840.9"/>
    <x v="5"/>
    <x v="9"/>
  </r>
  <r>
    <d v="2022-11-24T00:00:00"/>
    <d v="2023-01-23T00:00:00"/>
    <n v="-39"/>
    <s v="01-FN01-00002813"/>
    <n v="20506421781"/>
    <s v="CORPORACION RICO S.A.C."/>
    <x v="3"/>
    <s v="US$"/>
    <n v="0"/>
    <n v="4389.6000000000004"/>
    <x v="5"/>
    <x v="9"/>
  </r>
  <r>
    <d v="2022-11-25T00:00:00"/>
    <d v="2023-01-24T00:00:00"/>
    <n v="-40"/>
    <s v="01-FN01-00002831"/>
    <n v="20439320126"/>
    <s v="DON POLLO LA LIBERTAD SAC"/>
    <x v="5"/>
    <s v="S/"/>
    <n v="581.5"/>
    <n v="0"/>
    <x v="5"/>
    <x v="9"/>
  </r>
  <r>
    <d v="2022-09-27T00:00:00"/>
    <d v="2023-01-25T00:00:00"/>
    <n v="-41"/>
    <s v="01-FN01-00002089"/>
    <n v="20100154308"/>
    <s v="SAN FERNANDO S.A."/>
    <x v="1"/>
    <s v="S/"/>
    <n v="19824"/>
    <n v="0"/>
    <x v="5"/>
    <x v="9"/>
  </r>
  <r>
    <d v="2022-11-28T00:00:00"/>
    <d v="2023-01-27T00:00:00"/>
    <n v="-43"/>
    <s v="01-FN01-00002880"/>
    <n v="20601433584"/>
    <s v="INVET PERU E.I.R.L."/>
    <x v="5"/>
    <s v="US$"/>
    <n v="0"/>
    <n v="192.93"/>
    <x v="5"/>
    <x v="9"/>
  </r>
  <r>
    <d v="2022-11-28T00:00:00"/>
    <d v="2023-01-27T00:00:00"/>
    <n v="-43"/>
    <s v="01-FN01-00002855"/>
    <n v="20468261082"/>
    <s v="LOS SAUCES REPRESENTACIONES S.A.C."/>
    <x v="4"/>
    <s v="S/"/>
    <n v="2278.91"/>
    <n v="0"/>
    <x v="5"/>
    <x v="9"/>
  </r>
  <r>
    <d v="2022-11-28T00:00:00"/>
    <d v="2023-01-27T00:00:00"/>
    <n v="-43"/>
    <s v="01-FN01-00002850"/>
    <n v="20468261082"/>
    <s v="LOS SAUCES REPRESENTACIONES S.A.C."/>
    <x v="4"/>
    <s v="S/"/>
    <n v="183.44"/>
    <n v="0"/>
    <x v="5"/>
    <x v="9"/>
  </r>
  <r>
    <d v="2022-11-28T00:00:00"/>
    <d v="2023-01-27T00:00:00"/>
    <n v="-43"/>
    <s v="01-FN01-00002863"/>
    <n v="20221084684"/>
    <s v="REDONDOS S A"/>
    <x v="1"/>
    <s v="US$"/>
    <n v="0"/>
    <n v="20257.060000000001"/>
    <x v="5"/>
    <x v="9"/>
  </r>
  <r>
    <d v="2022-11-30T00:00:00"/>
    <d v="2023-01-29T00:00:00"/>
    <n v="-45"/>
    <s v="01-FN01-00002915"/>
    <n v="20132373958"/>
    <s v="CHIMU AGROPECUARIA S.A."/>
    <x v="5"/>
    <s v="S/"/>
    <n v="18504.29"/>
    <n v="0"/>
    <x v="5"/>
    <x v="9"/>
  </r>
  <r>
    <d v="2022-11-30T00:00:00"/>
    <d v="2023-01-29T00:00:00"/>
    <n v="-45"/>
    <s v="01-FN01-00002914"/>
    <n v="20132373958"/>
    <s v="CHIMU AGROPECUARIA S.A."/>
    <x v="5"/>
    <s v="S/"/>
    <n v="2523.31"/>
    <n v="0"/>
    <x v="5"/>
    <x v="9"/>
  </r>
  <r>
    <d v="2022-12-01T00:00:00"/>
    <d v="2023-01-30T00:00:00"/>
    <n v="-46"/>
    <s v="01-FN01-00002942"/>
    <n v="20506421781"/>
    <s v="CORPORACION RICO S.A.C."/>
    <x v="3"/>
    <s v="US$"/>
    <n v="0"/>
    <n v="2039.04"/>
    <x v="5"/>
    <x v="9"/>
  </r>
  <r>
    <d v="2022-12-01T00:00:00"/>
    <d v="2023-01-30T00:00:00"/>
    <n v="-46"/>
    <s v="01-FN01-00002932"/>
    <n v="20155261570"/>
    <s v="GRUPO SANTA ELENA S.A."/>
    <x v="0"/>
    <s v="S/"/>
    <n v="4722.3599999999997"/>
    <n v="0"/>
    <x v="5"/>
    <x v="9"/>
  </r>
  <r>
    <d v="2022-12-01T00:00:00"/>
    <d v="2023-01-30T00:00:00"/>
    <n v="-46"/>
    <s v="01-FN01-00002937"/>
    <n v="20601433584"/>
    <s v="INVET PERU E.I.R.L."/>
    <x v="5"/>
    <s v="US$"/>
    <n v="0"/>
    <n v="856.86"/>
    <x v="5"/>
    <x v="9"/>
  </r>
  <r>
    <d v="2022-12-01T00:00:00"/>
    <d v="2023-01-30T00:00:00"/>
    <n v="-46"/>
    <s v="01-FN01-00002933"/>
    <n v="20600728688"/>
    <s v="PECUARIA SAN FRANCISCO S.A.C."/>
    <x v="0"/>
    <s v="S/"/>
    <n v="555.26"/>
    <n v="0"/>
    <x v="5"/>
    <x v="9"/>
  </r>
  <r>
    <d v="2022-12-02T00:00:00"/>
    <d v="2023-01-31T00:00:00"/>
    <n v="-47"/>
    <s v="01-FN01-00002968"/>
    <n v="20600109881"/>
    <s v="NUTRIPRODUCTOS SANTA ANA S.A.C."/>
    <x v="0"/>
    <s v="S/"/>
    <n v="18688.13"/>
    <n v="0"/>
    <x v="5"/>
    <x v="9"/>
  </r>
  <r>
    <d v="2022-10-03T00:00:00"/>
    <d v="2023-01-31T00:00:00"/>
    <n v="-47"/>
    <s v="01-FN01-00002186"/>
    <n v="20100154308"/>
    <s v="SAN FERNANDO S.A."/>
    <x v="1"/>
    <s v="S/"/>
    <n v="14962.4"/>
    <n v="0"/>
    <x v="5"/>
    <x v="9"/>
  </r>
  <r>
    <d v="2022-10-03T00:00:00"/>
    <d v="2023-01-31T00:00:00"/>
    <n v="-47"/>
    <s v="01-FN01-00002185"/>
    <n v="20100154308"/>
    <s v="SAN FERNANDO S.A."/>
    <x v="1"/>
    <s v="S/"/>
    <n v="19824"/>
    <n v="0"/>
    <x v="5"/>
    <x v="9"/>
  </r>
  <r>
    <d v="2022-12-03T00:00:00"/>
    <d v="2023-02-01T00:00:00"/>
    <n v="-48"/>
    <s v="01-FN01-00002971"/>
    <n v="20601433584"/>
    <s v="INVET PERU E.I.R.L."/>
    <x v="5"/>
    <s v="US$"/>
    <n v="0"/>
    <n v="313.11"/>
    <x v="5"/>
    <x v="1"/>
  </r>
  <r>
    <d v="2022-12-05T00:00:00"/>
    <d v="2023-02-03T00:00:00"/>
    <n v="-50"/>
    <s v="01-FN01-00003002"/>
    <n v="20155261570"/>
    <s v="GRUPO SANTA ELENA S.A."/>
    <x v="0"/>
    <s v="S/"/>
    <n v="2706.33"/>
    <n v="0"/>
    <x v="5"/>
    <x v="1"/>
  </r>
  <r>
    <d v="2022-12-05T00:00:00"/>
    <d v="2023-02-03T00:00:00"/>
    <n v="-50"/>
    <s v="01-FN01-00002981"/>
    <n v="20468261082"/>
    <s v="LOS SAUCES REPRESENTACIONES S.A.C."/>
    <x v="4"/>
    <s v="S/"/>
    <n v="32805.89"/>
    <n v="0"/>
    <x v="5"/>
    <x v="1"/>
  </r>
  <r>
    <d v="2022-12-06T00:00:00"/>
    <d v="2023-02-04T00:00:00"/>
    <n v="-51"/>
    <s v="01-FN01-00003018"/>
    <n v="20506421781"/>
    <s v="CORPORACION RICO S.A.C."/>
    <x v="3"/>
    <s v="US$"/>
    <n v="0"/>
    <n v="339.84"/>
    <x v="5"/>
    <x v="1"/>
  </r>
  <r>
    <d v="2022-12-06T00:00:00"/>
    <d v="2023-02-04T00:00:00"/>
    <n v="-51"/>
    <s v="01-FN01-00003011"/>
    <n v="20100182263"/>
    <s v="MONTANA S A"/>
    <x v="4"/>
    <s v="US$"/>
    <n v="0"/>
    <n v="944"/>
    <x v="5"/>
    <x v="1"/>
  </r>
  <r>
    <d v="2022-12-06T00:00:00"/>
    <d v="2023-02-04T00:00:00"/>
    <n v="-51"/>
    <s v="01-FN01-00003010"/>
    <n v="20334218857"/>
    <s v="PRO-PREMIX NUTRICION S.R.L."/>
    <x v="2"/>
    <s v="US$"/>
    <n v="0"/>
    <n v="4366"/>
    <x v="5"/>
    <x v="1"/>
  </r>
  <r>
    <d v="2022-12-06T00:00:00"/>
    <d v="2023-02-04T00:00:00"/>
    <n v="-51"/>
    <s v="01-FN01-00003013"/>
    <n v="20505120702"/>
    <s v="TECNICA AVICOLA S.A."/>
    <x v="5"/>
    <s v="S/"/>
    <n v="6985.6"/>
    <n v="0"/>
    <x v="5"/>
    <x v="1"/>
  </r>
  <r>
    <d v="2022-12-06T00:00:00"/>
    <d v="2023-02-04T00:00:00"/>
    <n v="-51"/>
    <s v="01-FN01-00003003"/>
    <n v="20609609711"/>
    <s v="VILLA ESMERALDA S.A.C."/>
    <x v="0"/>
    <s v="S/"/>
    <n v="7975.86"/>
    <n v="0"/>
    <x v="5"/>
    <x v="1"/>
  </r>
  <r>
    <d v="2022-12-07T00:00:00"/>
    <d v="2023-02-05T00:00:00"/>
    <n v="-52"/>
    <s v="01-FN01-00003027"/>
    <n v="20506421781"/>
    <s v="CORPORACION RICO S.A.C."/>
    <x v="3"/>
    <s v="US$"/>
    <n v="0"/>
    <n v="1461.31"/>
    <x v="5"/>
    <x v="1"/>
  </r>
  <r>
    <d v="2022-12-07T00:00:00"/>
    <d v="2023-02-05T00:00:00"/>
    <n v="-52"/>
    <s v="01-FN01-00003028"/>
    <n v="20506421781"/>
    <s v="CORPORACION RICO S.A.C."/>
    <x v="3"/>
    <s v="US$"/>
    <n v="0"/>
    <n v="2378.88"/>
    <x v="5"/>
    <x v="1"/>
  </r>
  <r>
    <d v="2022-12-07T00:00:00"/>
    <d v="2023-02-05T00:00:00"/>
    <n v="-52"/>
    <s v="01-FN01-00003026"/>
    <n v="20494022797"/>
    <s v="DEMETRIOS CHICKEN S.A.C"/>
    <x v="2"/>
    <s v="S/"/>
    <n v="21502.18"/>
    <n v="0"/>
    <x v="5"/>
    <x v="1"/>
  </r>
  <r>
    <d v="2022-10-12T00:00:00"/>
    <d v="2023-02-09T00:00:00"/>
    <n v="-56"/>
    <s v="01-FN01-00002282"/>
    <n v="20100154308"/>
    <s v="SAN FERNANDO S.A."/>
    <x v="1"/>
    <s v="S/"/>
    <n v="2467.2399999999998"/>
    <n v="0"/>
    <x v="5"/>
    <x v="1"/>
  </r>
  <r>
    <d v="2022-10-12T00:00:00"/>
    <d v="2023-02-09T00:00:00"/>
    <n v="-56"/>
    <s v="01-FN01-00002283"/>
    <n v="20100154308"/>
    <s v="SAN FERNANDO S.A."/>
    <x v="1"/>
    <s v="S/"/>
    <n v="1170.58"/>
    <n v="0"/>
    <x v="5"/>
    <x v="1"/>
  </r>
  <r>
    <d v="2022-10-12T00:00:00"/>
    <d v="2023-02-09T00:00:00"/>
    <n v="-56"/>
    <s v="01-FN01-00002281"/>
    <n v="20100154308"/>
    <s v="SAN FERNANDO S.A."/>
    <x v="1"/>
    <s v="S/"/>
    <n v="1219"/>
    <n v="0"/>
    <x v="5"/>
    <x v="1"/>
  </r>
  <r>
    <d v="2022-10-12T00:00:00"/>
    <d v="2023-02-09T00:00:00"/>
    <n v="-56"/>
    <s v="01-FN01-00002280"/>
    <n v="20100154308"/>
    <s v="SAN FERNANDO S.A."/>
    <x v="1"/>
    <s v="S/"/>
    <n v="1422.26"/>
    <n v="0"/>
    <x v="5"/>
    <x v="1"/>
  </r>
  <r>
    <d v="2022-12-12T00:00:00"/>
    <d v="2023-02-10T00:00:00"/>
    <n v="-57"/>
    <s v="01-E001-00000667"/>
    <n v="20487823377"/>
    <s v="AVICOLA LAGUNAS S.A.C."/>
    <x v="5"/>
    <s v="US$"/>
    <n v="0"/>
    <n v="582.63"/>
    <x v="5"/>
    <x v="1"/>
  </r>
  <r>
    <d v="2022-12-12T00:00:00"/>
    <d v="2023-02-10T00:00:00"/>
    <n v="-57"/>
    <s v="01-E001-00000653"/>
    <n v="20506421781"/>
    <s v="CORPORACION RICO S.A.C."/>
    <x v="3"/>
    <s v="US$"/>
    <n v="0"/>
    <n v="815.62"/>
    <x v="5"/>
    <x v="1"/>
  </r>
  <r>
    <d v="2022-12-12T00:00:00"/>
    <d v="2023-02-10T00:00:00"/>
    <n v="-57"/>
    <s v="01-E001-00000677"/>
    <n v="20467089464"/>
    <s v="FUMINSUMOS S.R.L."/>
    <x v="4"/>
    <s v="US$"/>
    <n v="0"/>
    <n v="1130.68"/>
    <x v="5"/>
    <x v="1"/>
  </r>
  <r>
    <d v="2022-12-12T00:00:00"/>
    <d v="2023-02-10T00:00:00"/>
    <n v="-57"/>
    <s v="01-E001-00000674"/>
    <n v="20600728688"/>
    <s v="PECUARIA SAN FRANCISCO S.A.C."/>
    <x v="0"/>
    <s v="S/"/>
    <n v="1777.79"/>
    <n v="0"/>
    <x v="5"/>
    <x v="1"/>
  </r>
  <r>
    <d v="2022-12-13T00:00:00"/>
    <d v="2023-02-11T00:00:00"/>
    <n v="-58"/>
    <s v="01-E001-00000694"/>
    <n v="20221084684"/>
    <s v="REDONDOS S A"/>
    <x v="1"/>
    <s v="S/"/>
    <n v="56640"/>
    <n v="0"/>
    <x v="5"/>
    <x v="1"/>
  </r>
  <r>
    <d v="2022-12-13T00:00:00"/>
    <d v="2023-02-11T00:00:00"/>
    <n v="-58"/>
    <s v="01-E001-00000688"/>
    <n v="20221084684"/>
    <s v="REDONDOS S A"/>
    <x v="1"/>
    <s v="S/"/>
    <n v="226560"/>
    <n v="0"/>
    <x v="5"/>
    <x v="1"/>
  </r>
  <r>
    <d v="2022-12-13T00:00:00"/>
    <d v="2023-02-11T00:00:00"/>
    <n v="-58"/>
    <s v="01-E001-00000698"/>
    <n v="20221084684"/>
    <s v="REDONDOS S A"/>
    <x v="1"/>
    <s v="US$"/>
    <n v="0"/>
    <n v="22354.16"/>
    <x v="5"/>
    <x v="1"/>
  </r>
  <r>
    <d v="2022-12-14T00:00:00"/>
    <d v="2023-02-12T00:00:00"/>
    <n v="-59"/>
    <s v="01-E001-00000707"/>
    <n v="20468261082"/>
    <s v="LOS SAUCES REPRESENTACIONES S.A.C."/>
    <x v="4"/>
    <s v="S/"/>
    <n v="23333.200000000001"/>
    <n v="0"/>
    <x v="5"/>
    <x v="1"/>
  </r>
  <r>
    <d v="2022-12-14T00:00:00"/>
    <d v="2023-02-12T00:00:00"/>
    <n v="-59"/>
    <s v="01-E001-00000717"/>
    <n v="20600728688"/>
    <s v="PECUARIA SAN FRANCISCO S.A.C."/>
    <x v="0"/>
    <s v="S/"/>
    <n v="1240.8900000000001"/>
    <n v="0"/>
    <x v="5"/>
    <x v="1"/>
  </r>
  <r>
    <d v="2022-10-25T00:00:00"/>
    <d v="2023-02-22T00:00:00"/>
    <n v="-69"/>
    <s v="01-FN01-00002413"/>
    <n v="20100154308"/>
    <s v="SAN FERNANDO S.A."/>
    <x v="1"/>
    <s v="US$"/>
    <n v="0"/>
    <n v="7422.2"/>
    <x v="5"/>
    <x v="1"/>
  </r>
  <r>
    <d v="2022-10-26T00:00:00"/>
    <d v="2023-02-23T00:00:00"/>
    <n v="-70"/>
    <s v="01-FN01-00002442"/>
    <n v="20100154308"/>
    <s v="SAN FERNANDO S.A."/>
    <x v="1"/>
    <s v="US$"/>
    <n v="0"/>
    <n v="14471.52"/>
    <x v="5"/>
    <x v="1"/>
  </r>
  <r>
    <d v="2022-11-02T00:00:00"/>
    <d v="2023-03-02T00:00:00"/>
    <n v="-77"/>
    <s v="01-FN01-00002489"/>
    <n v="20100154308"/>
    <s v="SAN FERNANDO S.A."/>
    <x v="1"/>
    <s v="US$"/>
    <n v="0"/>
    <n v="2725.8"/>
    <x v="5"/>
    <x v="2"/>
  </r>
  <r>
    <d v="2022-11-02T00:00:00"/>
    <d v="2023-03-02T00:00:00"/>
    <n v="-77"/>
    <s v="01-FN01-00002491"/>
    <n v="20100154308"/>
    <s v="SAN FERNANDO S.A."/>
    <x v="1"/>
    <s v="S/"/>
    <n v="11654.27"/>
    <n v="0"/>
    <x v="5"/>
    <x v="2"/>
  </r>
  <r>
    <d v="2022-11-08T00:00:00"/>
    <d v="2023-03-08T00:00:00"/>
    <n v="-83"/>
    <s v="01-FN01-00002604"/>
    <n v="20100154308"/>
    <s v="SAN FERNANDO S.A."/>
    <x v="1"/>
    <s v="US$"/>
    <n v="0"/>
    <n v="6796.8"/>
    <x v="5"/>
    <x v="2"/>
  </r>
  <r>
    <d v="2022-11-10T00:00:00"/>
    <d v="2023-03-10T00:00:00"/>
    <n v="-85"/>
    <s v="01-FN01-00002637"/>
    <n v="20100154308"/>
    <s v="SAN FERNANDO S.A."/>
    <x v="1"/>
    <s v="S/"/>
    <n v="4932.3999999999996"/>
    <n v="0"/>
    <x v="5"/>
    <x v="2"/>
  </r>
  <r>
    <d v="2022-11-14T00:00:00"/>
    <d v="2023-03-14T00:00:00"/>
    <n v="-89"/>
    <s v="01-FN01-00002666"/>
    <n v="20100154308"/>
    <s v="SAN FERNANDO S.A."/>
    <x v="1"/>
    <s v="US$"/>
    <n v="0"/>
    <n v="15892.71"/>
    <x v="5"/>
    <x v="2"/>
  </r>
  <r>
    <d v="2022-11-19T00:00:00"/>
    <d v="2023-03-19T00:00:00"/>
    <n v="-94"/>
    <s v="01-FN01-00002762"/>
    <n v="20100154308"/>
    <s v="SAN FERNANDO S.A."/>
    <x v="1"/>
    <s v="US$"/>
    <n v="0"/>
    <n v="30321.279999999999"/>
    <x v="5"/>
    <x v="2"/>
  </r>
  <r>
    <d v="2022-11-25T00:00:00"/>
    <d v="2023-03-25T00:00:00"/>
    <n v="-100"/>
    <s v="01-FN01-00002830"/>
    <n v="20100154308"/>
    <s v="SAN FERNANDO S.A."/>
    <x v="1"/>
    <s v="S/"/>
    <n v="19824"/>
    <n v="0"/>
    <x v="5"/>
    <x v="2"/>
  </r>
  <r>
    <d v="2022-11-29T00:00:00"/>
    <d v="2023-03-29T00:00:00"/>
    <n v="-104"/>
    <s v="01-FN01-00002902"/>
    <n v="20100154308"/>
    <s v="SAN FERNANDO S.A."/>
    <x v="1"/>
    <s v="US$"/>
    <n v="0"/>
    <n v="31785.42"/>
    <x v="5"/>
    <x v="2"/>
  </r>
  <r>
    <d v="2022-12-05T00:00:00"/>
    <d v="2023-04-04T00:00:00"/>
    <n v="-110"/>
    <s v="01-FN01-00002985"/>
    <n v="20100154308"/>
    <s v="SAN FERNANDO S.A."/>
    <x v="1"/>
    <s v="US$"/>
    <n v="0"/>
    <n v="32302.5"/>
    <x v="5"/>
    <x v="3"/>
  </r>
  <r>
    <d v="2022-12-05T00:00:00"/>
    <d v="2023-04-04T00:00:00"/>
    <n v="-110"/>
    <s v="01-FN01-00002986"/>
    <n v="20100154308"/>
    <s v="SAN FERNANDO S.A."/>
    <x v="1"/>
    <s v="S/"/>
    <n v="9864.7999999999993"/>
    <n v="0"/>
    <x v="5"/>
    <x v="3"/>
  </r>
  <r>
    <d v="2022-12-07T00:00:00"/>
    <d v="2023-04-06T00:00:00"/>
    <n v="-112"/>
    <s v="01-FN01-00003036"/>
    <n v="20100154308"/>
    <s v="SAN FERNANDO S.A."/>
    <x v="1"/>
    <s v="S/"/>
    <n v="4932.3999999999996"/>
    <n v="0"/>
    <x v="5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31A513-05F8-1E4F-814F-82BD67749A50}" name="TablaDinámica7" cacheId="9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:P18" firstHeaderRow="1" firstDataRow="1" firstDataCol="1"/>
  <pivotFields count="12">
    <pivotField numFmtId="14" showAll="0"/>
    <pivotField numFmtId="14" showAll="0"/>
    <pivotField showAll="0"/>
    <pivotField showAll="0"/>
    <pivotField showAll="0"/>
    <pivotField showAll="0"/>
    <pivotField showAll="0">
      <items count="7">
        <item x="1"/>
        <item x="5"/>
        <item x="4"/>
        <item x="2"/>
        <item x="0"/>
        <item x="3"/>
        <item t="default"/>
      </items>
    </pivotField>
    <pivotField showAll="0"/>
    <pivotField showAll="0"/>
    <pivotField dataField="1" showAll="0"/>
    <pivotField showAll="0"/>
    <pivotField axis="axisRow" showAll="0">
      <items count="13">
        <item x="9"/>
        <item x="1"/>
        <item x="2"/>
        <item x="3"/>
        <item x="4"/>
        <item x="5"/>
        <item x="10"/>
        <item x="6"/>
        <item x="7"/>
        <item x="0"/>
        <item x="11"/>
        <item x="8"/>
        <item t="default"/>
      </items>
    </pivotField>
  </pivotFields>
  <rowFields count="1">
    <field x="1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a de $$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E3B9D1-52EA-9C4C-AD19-747648067221}" name="TablaDinámica9" cacheId="9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E26:F33" firstHeaderRow="1" firstDataRow="1" firstDataCol="1"/>
  <pivotFields count="12">
    <pivotField numFmtId="14" showAll="0"/>
    <pivotField numFmtId="14" showAll="0"/>
    <pivotField showAll="0"/>
    <pivotField showAll="0"/>
    <pivotField showAll="0"/>
    <pivotField showAll="0"/>
    <pivotField showAll="0">
      <items count="7">
        <item x="1"/>
        <item x="5"/>
        <item x="4"/>
        <item x="2"/>
        <item x="0"/>
        <item x="3"/>
        <item t="default"/>
      </items>
    </pivotField>
    <pivotField showAll="0"/>
    <pivotField showAll="0"/>
    <pivotField dataField="1" showAll="0"/>
    <pivotField axis="axisRow" showAll="0">
      <items count="7">
        <item x="3"/>
        <item x="2"/>
        <item x="1"/>
        <item x="0"/>
        <item x="4"/>
        <item x="5"/>
        <item t="default"/>
      </items>
    </pivotField>
    <pivotField showAll="0">
      <items count="13">
        <item x="9"/>
        <item x="1"/>
        <item x="2"/>
        <item x="3"/>
        <item x="4"/>
        <item x="5"/>
        <item x="10"/>
        <item x="6"/>
        <item x="7"/>
        <item x="0"/>
        <item x="11"/>
        <item x="8"/>
        <item t="default"/>
      </items>
    </pivotField>
  </pivotFields>
  <rowFields count="1">
    <field x="1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$$" fld="9" showDataAs="percentOfCo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C7E67E-FF71-4841-9F8C-9D26F05DF390}" name="TablaDinámica6" cacheId="9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K5:L18" firstHeaderRow="1" firstDataRow="1" firstDataCol="1"/>
  <pivotFields count="12">
    <pivotField numFmtId="14" showAll="0"/>
    <pivotField numFmtId="14" showAll="0"/>
    <pivotField showAll="0"/>
    <pivotField showAll="0"/>
    <pivotField showAll="0"/>
    <pivotField showAll="0"/>
    <pivotField showAll="0">
      <items count="7">
        <item x="1"/>
        <item x="5"/>
        <item x="4"/>
        <item x="2"/>
        <item x="0"/>
        <item x="3"/>
        <item t="default"/>
      </items>
    </pivotField>
    <pivotField showAll="0"/>
    <pivotField dataField="1" showAll="0"/>
    <pivotField showAll="0"/>
    <pivotField showAll="0"/>
    <pivotField axis="axisRow" showAll="0">
      <items count="13">
        <item x="9"/>
        <item x="1"/>
        <item x="2"/>
        <item x="3"/>
        <item x="4"/>
        <item x="5"/>
        <item x="10"/>
        <item x="6"/>
        <item x="7"/>
        <item x="0"/>
        <item x="11"/>
        <item x="8"/>
        <item t="default"/>
      </items>
    </pivotField>
  </pivotFields>
  <rowFields count="1">
    <field x="1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a de S/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5EF772-BA9C-8643-9E0E-3D3284DCFD91}" name="TablaDinámica4" cacheId="92" dataOnRows="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2">
  <location ref="A5:B12" firstHeaderRow="1" firstDataRow="1" firstDataCol="1"/>
  <pivotFields count="12">
    <pivotField numFmtId="14" showAll="0"/>
    <pivotField numFmtId="14" showAll="0"/>
    <pivotField showAll="0"/>
    <pivotField showAll="0"/>
    <pivotField showAll="0"/>
    <pivotField showAll="0"/>
    <pivotField showAll="0">
      <items count="7">
        <item x="1"/>
        <item x="5"/>
        <item x="4"/>
        <item x="2"/>
        <item x="0"/>
        <item x="3"/>
        <item t="default"/>
      </items>
    </pivotField>
    <pivotField showAll="0"/>
    <pivotField dataField="1" showAll="0"/>
    <pivotField showAll="0"/>
    <pivotField axis="axisRow" showAll="0">
      <items count="7">
        <item x="3"/>
        <item x="2"/>
        <item x="1"/>
        <item x="0"/>
        <item x="4"/>
        <item x="5"/>
        <item t="default"/>
      </items>
    </pivotField>
    <pivotField showAll="0">
      <items count="13">
        <item x="9"/>
        <item x="1"/>
        <item x="2"/>
        <item x="3"/>
        <item x="4"/>
        <item x="5"/>
        <item x="10"/>
        <item x="6"/>
        <item x="7"/>
        <item x="0"/>
        <item x="11"/>
        <item x="8"/>
        <item t="default"/>
      </items>
    </pivotField>
  </pivotFields>
  <rowFields count="1">
    <field x="1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S/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304CF6-F725-0947-8A97-603946A5B53D}" name="TablaDinámica5" cacheId="9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E5:F12" firstHeaderRow="1" firstDataRow="1" firstDataCol="1"/>
  <pivotFields count="12">
    <pivotField numFmtId="14" showAll="0"/>
    <pivotField numFmtId="14" showAll="0"/>
    <pivotField showAll="0"/>
    <pivotField showAll="0"/>
    <pivotField showAll="0"/>
    <pivotField showAll="0"/>
    <pivotField showAll="0">
      <items count="7">
        <item x="1"/>
        <item x="5"/>
        <item x="4"/>
        <item x="2"/>
        <item x="0"/>
        <item x="3"/>
        <item t="default"/>
      </items>
    </pivotField>
    <pivotField showAll="0"/>
    <pivotField showAll="0"/>
    <pivotField dataField="1" showAll="0"/>
    <pivotField axis="axisRow" showAll="0">
      <items count="7">
        <item x="3"/>
        <item x="2"/>
        <item x="1"/>
        <item x="0"/>
        <item x="4"/>
        <item x="5"/>
        <item t="default"/>
      </items>
    </pivotField>
    <pivotField showAll="0">
      <items count="13">
        <item x="9"/>
        <item x="1"/>
        <item x="2"/>
        <item x="3"/>
        <item x="4"/>
        <item x="5"/>
        <item x="10"/>
        <item x="6"/>
        <item x="7"/>
        <item x="0"/>
        <item x="11"/>
        <item x="8"/>
        <item t="default"/>
      </items>
    </pivotField>
  </pivotFields>
  <rowFields count="1">
    <field x="1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$$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D66868-3066-0448-8872-51586E0EC1CB}" name="TablaDinámica10" cacheId="92" dataOnRows="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2">
  <location ref="K47:L60" firstHeaderRow="1" firstDataRow="1" firstDataCol="1"/>
  <pivotFields count="12">
    <pivotField numFmtId="14" showAll="0"/>
    <pivotField numFmtId="14" showAll="0"/>
    <pivotField showAll="0"/>
    <pivotField showAll="0"/>
    <pivotField showAll="0"/>
    <pivotField showAll="0"/>
    <pivotField showAll="0">
      <items count="7">
        <item x="1"/>
        <item x="5"/>
        <item x="4"/>
        <item x="2"/>
        <item x="0"/>
        <item x="3"/>
        <item t="default"/>
      </items>
    </pivotField>
    <pivotField showAll="0"/>
    <pivotField dataField="1" showAll="0"/>
    <pivotField showAll="0"/>
    <pivotField showAll="0"/>
    <pivotField axis="axisRow" showAll="0">
      <items count="13">
        <item x="9"/>
        <item x="1"/>
        <item x="2"/>
        <item x="3"/>
        <item x="4"/>
        <item x="5"/>
        <item x="10"/>
        <item x="6"/>
        <item x="7"/>
        <item x="0"/>
        <item x="11"/>
        <item x="8"/>
        <item t="default"/>
      </items>
    </pivotField>
  </pivotFields>
  <rowFields count="1">
    <field x="1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a de S/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B1888F-AF92-634F-A12A-5A7CA0DE13B3}" name="TablaDinámica8" cacheId="92" dataOnRows="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A26:B33" firstHeaderRow="1" firstDataRow="1" firstDataCol="1"/>
  <pivotFields count="12">
    <pivotField numFmtId="14" showAll="0"/>
    <pivotField numFmtId="14" showAll="0"/>
    <pivotField showAll="0"/>
    <pivotField showAll="0"/>
    <pivotField showAll="0"/>
    <pivotField showAll="0"/>
    <pivotField showAll="0">
      <items count="7">
        <item x="1"/>
        <item x="5"/>
        <item x="4"/>
        <item x="2"/>
        <item x="0"/>
        <item x="3"/>
        <item t="default"/>
      </items>
    </pivotField>
    <pivotField showAll="0"/>
    <pivotField dataField="1" showAll="0"/>
    <pivotField showAll="0"/>
    <pivotField axis="axisRow" showAll="0">
      <items count="7">
        <item x="3"/>
        <item x="2"/>
        <item x="1"/>
        <item x="0"/>
        <item x="4"/>
        <item x="5"/>
        <item t="default"/>
      </items>
    </pivotField>
    <pivotField showAll="0">
      <items count="13">
        <item x="9"/>
        <item x="1"/>
        <item x="2"/>
        <item x="3"/>
        <item x="4"/>
        <item x="5"/>
        <item x="10"/>
        <item x="6"/>
        <item x="7"/>
        <item x="0"/>
        <item x="11"/>
        <item x="8"/>
        <item t="default"/>
      </items>
    </pivotField>
  </pivotFields>
  <rowFields count="1">
    <field x="1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S/" fld="8" showDataAs="percentOfCo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1C2A69-14A9-1444-971F-14F994D5E370}" name="TablaDinámica11" cacheId="9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O47:P60" firstHeaderRow="1" firstDataRow="1" firstDataCol="1"/>
  <pivotFields count="12">
    <pivotField numFmtId="14" showAll="0"/>
    <pivotField numFmtId="14" showAll="0"/>
    <pivotField showAll="0"/>
    <pivotField showAll="0"/>
    <pivotField showAll="0"/>
    <pivotField showAll="0"/>
    <pivotField showAll="0">
      <items count="7">
        <item x="1"/>
        <item x="5"/>
        <item x="4"/>
        <item x="2"/>
        <item x="0"/>
        <item x="3"/>
        <item t="default"/>
      </items>
    </pivotField>
    <pivotField showAll="0"/>
    <pivotField showAll="0"/>
    <pivotField dataField="1" showAll="0"/>
    <pivotField showAll="0"/>
    <pivotField axis="axisRow" showAll="0">
      <items count="13">
        <item x="9"/>
        <item x="1"/>
        <item x="2"/>
        <item x="3"/>
        <item x="4"/>
        <item x="5"/>
        <item x="10"/>
        <item x="6"/>
        <item x="7"/>
        <item x="0"/>
        <item x="11"/>
        <item x="8"/>
        <item t="default"/>
      </items>
    </pivotField>
  </pivotFields>
  <rowFields count="1">
    <field x="1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a de $$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_VENCIMIENTO" xr10:uid="{53F88BD3-5F51-714B-926A-95AFD4B33054}" sourceName="FECHA VENCIMIENTO">
  <pivotTables>
    <pivotTable tabId="2" name="TablaDinámica4"/>
    <pivotTable tabId="2" name="TablaDinámica10"/>
    <pivotTable tabId="2" name="TablaDinámica11"/>
    <pivotTable tabId="2" name="TablaDinámica5"/>
    <pivotTable tabId="2" name="TablaDinámica6"/>
    <pivotTable tabId="2" name="TablaDinámica7"/>
    <pivotTable tabId="2" name="TablaDinámica8"/>
    <pivotTable tabId="2" name="TablaDinámica9"/>
  </pivotTables>
  <data>
    <tabular pivotCacheId="911694585">
      <items count="12">
        <i x="9" s="1"/>
        <i x="1" s="1"/>
        <i x="2" s="1"/>
        <i x="3" s="1"/>
        <i x="4" s="1"/>
        <i x="5" s="1"/>
        <i x="10" s="1"/>
        <i x="6" s="1"/>
        <i x="7" s="1"/>
        <i x="0" s="1"/>
        <i x="11" s="1"/>
        <i x="8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ZONA_CLIENTE" xr10:uid="{2A6EDBA2-1704-F446-8AB0-355AB6BB04A9}" sourceName="ZONA CLIENTE">
  <pivotTables>
    <pivotTable tabId="2" name="TablaDinámica4"/>
    <pivotTable tabId="2" name="TablaDinámica10"/>
    <pivotTable tabId="2" name="TablaDinámica11"/>
    <pivotTable tabId="2" name="TablaDinámica5"/>
    <pivotTable tabId="2" name="TablaDinámica6"/>
    <pivotTable tabId="2" name="TablaDinámica7"/>
    <pivotTable tabId="2" name="TablaDinámica8"/>
    <pivotTable tabId="2" name="TablaDinámica9"/>
  </pivotTables>
  <data>
    <tabular pivotCacheId="911694585">
      <items count="6">
        <i x="1" s="1"/>
        <i x="5" s="1"/>
        <i x="4" s="1"/>
        <i x="2" s="1"/>
        <i x="0" s="1"/>
        <i x="3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ECHA VENCIMIENTO" xr10:uid="{0DCFA548-7B39-EE46-9A62-C973BA4A667E}" cache="SegmentaciónDeDatos_FECHA_VENCIMIENTO" caption="FECHA VENCIMIENTO" columnCount="3" rowHeight="251883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ZONA CLIENTE" xr10:uid="{F0B4A8A6-E60B-214A-8910-B8CD15AD7B78}" cache="SegmentaciónDeDatos_ZONA_CLIENTE" caption="ZONA CLIENTE" style="SlicerStyleLight1 2" rowHeight="251883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B1538C-EEAF-A345-9EC3-824A1CC8BD69}" name="DATA" displayName="DATA" ref="A3:L999" totalsRowShown="0" headerRowDxfId="16" dataDxfId="14" headerRowBorderDxfId="15" tableBorderDxfId="13" totalsRowBorderDxfId="12">
  <autoFilter ref="A3:L999" xr:uid="{17B1538C-EEAF-A345-9EC3-824A1CC8BD69}">
    <filterColumn colId="7">
      <filters>
        <filter val="S/"/>
      </filters>
    </filterColumn>
    <filterColumn colId="10">
      <filters>
        <filter val="30 &lt;= 60 DIAS"/>
      </filters>
    </filterColumn>
  </autoFilter>
  <sortState xmlns:xlrd2="http://schemas.microsoft.com/office/spreadsheetml/2017/richdata2" ref="A4:L999">
    <sortCondition descending="1" ref="C3:C999"/>
  </sortState>
  <tableColumns count="12">
    <tableColumn id="2" xr3:uid="{2FEECADB-A9CC-0446-AB3B-6F33DD01EC33}" name="FECHA DE DESCUENTO" dataDxfId="11"/>
    <tableColumn id="3" xr3:uid="{4A059A70-C619-E443-B4E5-64C871A97F97}" name="FECHA DE VENCIMIENTO" dataDxfId="10"/>
    <tableColumn id="4" xr3:uid="{36D847B6-A718-A640-BF35-D0CC9BACB898}" name="DIAS VENCIDOS" dataDxfId="9">
      <calculatedColumnFormula>$E$2-B4</calculatedColumnFormula>
    </tableColumn>
    <tableColumn id="5" xr3:uid="{64376ACC-70E6-974F-89E0-ADBFCE494ECC}" name="NUMERO DE FACTURA" dataDxfId="8"/>
    <tableColumn id="6" xr3:uid="{65A40B3C-4823-2343-97EA-44E92C262C8D}" name="RUC" dataDxfId="7"/>
    <tableColumn id="7" xr3:uid="{868F2FC2-B126-FC40-A198-91E56B5ABC22}" name="RAZON SOCIAL" dataDxfId="6"/>
    <tableColumn id="8" xr3:uid="{3F53B71B-8F61-4143-9358-AEF55CB1A7AD}" name="ZONA CLIENTE" dataDxfId="5"/>
    <tableColumn id="9" xr3:uid="{D9F955CB-A2DD-FA4F-8D1F-C7F8002F7D6C}" name="MONEDA" dataDxfId="4"/>
    <tableColumn id="10" xr3:uid="{293F2F00-4834-344A-BEE2-26EC60CF216D}" name="S/" dataDxfId="3" dataCellStyle="Millares"/>
    <tableColumn id="11" xr3:uid="{DB4DC9AA-0D2A-9849-A49F-1E4E43971CB8}" name="$$" dataDxfId="2" dataCellStyle="Millares"/>
    <tableColumn id="12" xr3:uid="{21310BB2-147F-AC47-B471-BFAD55F61690}" name="EDADES" dataDxfId="1">
      <calculatedColumnFormula>IF(C4&gt;180,"180 &lt;= 360 DIAS",IF(C4&gt;90,"90 &lt;= 180 DIAS",IF(C4&gt;60,"60 &lt;= 90 DIAS",IF(C4&gt;30,"30 &lt;= 60 DIAS",IF(C4&gt;15,"15 &lt;= 30 DIAS","1-POR VENCER")))))</calculatedColumnFormula>
    </tableColumn>
    <tableColumn id="13" xr3:uid="{75603695-57FE-1C41-BE88-6E64017C2F33}" name="FECHA VENCIMIENTO" dataDxfId="0">
      <calculatedColumnFormula>_xlfn.CONCAT(TEXT(MONTH(DATA[[#This Row],[FECHA DE VENCIMIENTO]]),"00"),"-",TEXT(DATA[[#This Row],[FECHA DE VENCIMIENTO]],"MMM"))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microsoft.com/office/2007/relationships/slicer" Target="../slicers/slicer1.xml"/><Relationship Id="rId4" Type="http://schemas.openxmlformats.org/officeDocument/2006/relationships/pivotTable" Target="../pivotTables/pivotTable4.xml"/><Relationship Id="rId9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35E1D-9A96-194D-9758-3DC35CD1DD29}">
  <sheetPr codeName="Hoja1"/>
  <dimension ref="A1:L999"/>
  <sheetViews>
    <sheetView showGridLines="0" topLeftCell="E1" zoomScaleNormal="100" workbookViewId="0">
      <selection activeCell="C384" sqref="C384"/>
    </sheetView>
  </sheetViews>
  <sheetFormatPr baseColWidth="10" defaultRowHeight="15.6" x14ac:dyDescent="0.3"/>
  <cols>
    <col min="1" max="1" width="15.09765625" bestFit="1" customWidth="1"/>
    <col min="2" max="2" width="15.59765625" bestFit="1" customWidth="1"/>
    <col min="3" max="3" width="14.8984375" bestFit="1" customWidth="1"/>
    <col min="4" max="4" width="20.69921875" customWidth="1"/>
    <col min="5" max="5" width="20.3984375" customWidth="1"/>
    <col min="6" max="6" width="50" customWidth="1"/>
    <col min="7" max="7" width="12.8984375" bestFit="1" customWidth="1"/>
    <col min="8" max="8" width="14" bestFit="1" customWidth="1"/>
    <col min="9" max="10" width="11.8984375" style="29" bestFit="1" customWidth="1"/>
    <col min="11" max="11" width="26.8984375" customWidth="1"/>
    <col min="12" max="12" width="15.59765625" bestFit="1" customWidth="1"/>
  </cols>
  <sheetData>
    <row r="1" spans="1:12" ht="56.1" customHeight="1" x14ac:dyDescent="0.3">
      <c r="E1" s="25" t="s">
        <v>395</v>
      </c>
    </row>
    <row r="2" spans="1:12" x14ac:dyDescent="0.3">
      <c r="E2" s="26">
        <v>44910</v>
      </c>
    </row>
    <row r="3" spans="1:12" ht="31.2" x14ac:dyDescent="0.3">
      <c r="A3" s="1" t="s">
        <v>0</v>
      </c>
      <c r="B3" s="1" t="s">
        <v>1</v>
      </c>
      <c r="C3" s="1" t="s">
        <v>2</v>
      </c>
      <c r="D3" s="1" t="s">
        <v>440</v>
      </c>
      <c r="E3" s="1" t="s">
        <v>3</v>
      </c>
      <c r="F3" s="1" t="s">
        <v>4</v>
      </c>
      <c r="G3" s="1" t="s">
        <v>5</v>
      </c>
      <c r="H3" s="1" t="s">
        <v>6</v>
      </c>
      <c r="I3" s="30" t="s">
        <v>7</v>
      </c>
      <c r="J3" s="30" t="s">
        <v>8</v>
      </c>
      <c r="K3" s="2" t="s">
        <v>9</v>
      </c>
      <c r="L3" s="1" t="s">
        <v>10</v>
      </c>
    </row>
    <row r="4" spans="1:12" hidden="1" x14ac:dyDescent="0.3">
      <c r="A4" s="3">
        <v>44620</v>
      </c>
      <c r="B4" s="3">
        <v>43395</v>
      </c>
      <c r="C4" s="4">
        <f t="shared" ref="C4:C67" si="0">$E$2-B4</f>
        <v>1515</v>
      </c>
      <c r="D4" s="5" t="s">
        <v>1133</v>
      </c>
      <c r="E4" s="5">
        <v>20600109881</v>
      </c>
      <c r="F4" s="5" t="s">
        <v>1126</v>
      </c>
      <c r="G4" s="5" t="s">
        <v>13</v>
      </c>
      <c r="H4" s="5" t="s">
        <v>7</v>
      </c>
      <c r="I4" s="31">
        <v>1982.4</v>
      </c>
      <c r="J4" s="31">
        <v>0</v>
      </c>
      <c r="K4" s="6" t="str">
        <f t="shared" ref="K4:K67" si="1">IF(C4&gt;180,"180 &lt;= 360 DIAS",IF(C4&gt;90,"90 &lt;= 180 DIAS",IF(C4&gt;60,"60 &lt;= 90 DIAS",IF(C4&gt;30,"30 &lt;= 60 DIAS",IF(C4&gt;15,"15 &lt;= 30 DIAS","1-POR VENCER")))))</f>
        <v>180 &lt;= 360 DIAS</v>
      </c>
      <c r="L4" s="7" t="str">
        <f>_xlfn.CONCAT(TEXT(MONTH(DATA[[#This Row],[FECHA DE VENCIMIENTO]]),"00"),"-",TEXT(DATA[[#This Row],[FECHA DE VENCIMIENTO]],"MMM"))</f>
        <v>10-Oct</v>
      </c>
    </row>
    <row r="5" spans="1:12" hidden="1" x14ac:dyDescent="0.3">
      <c r="A5" s="3">
        <v>43475</v>
      </c>
      <c r="B5" s="3">
        <v>43505</v>
      </c>
      <c r="C5" s="4">
        <f t="shared" si="0"/>
        <v>1405</v>
      </c>
      <c r="D5" s="5" t="s">
        <v>11</v>
      </c>
      <c r="E5" s="5">
        <v>20600728688</v>
      </c>
      <c r="F5" s="5" t="s">
        <v>12</v>
      </c>
      <c r="G5" s="5" t="s">
        <v>13</v>
      </c>
      <c r="H5" s="5" t="s">
        <v>7</v>
      </c>
      <c r="I5" s="31">
        <v>712.13</v>
      </c>
      <c r="J5" s="31">
        <v>0</v>
      </c>
      <c r="K5" s="6" t="str">
        <f t="shared" si="1"/>
        <v>180 &lt;= 360 DIAS</v>
      </c>
      <c r="L5" s="7" t="str">
        <f>_xlfn.CONCAT(TEXT(MONTH(DATA[[#This Row],[FECHA DE VENCIMIENTO]]),"00"),"-",TEXT(DATA[[#This Row],[FECHA DE VENCIMIENTO]],"MMM"))</f>
        <v>02-Feb</v>
      </c>
    </row>
    <row r="6" spans="1:12" hidden="1" x14ac:dyDescent="0.3">
      <c r="A6" s="3">
        <v>44620</v>
      </c>
      <c r="B6" s="3">
        <v>43533</v>
      </c>
      <c r="C6" s="4">
        <f t="shared" si="0"/>
        <v>1377</v>
      </c>
      <c r="D6" s="5" t="s">
        <v>14</v>
      </c>
      <c r="E6" s="5">
        <v>20392846850</v>
      </c>
      <c r="F6" s="5" t="s">
        <v>15</v>
      </c>
      <c r="G6" s="5" t="s">
        <v>16</v>
      </c>
      <c r="H6" s="5" t="s">
        <v>7</v>
      </c>
      <c r="I6" s="31">
        <v>8450.32</v>
      </c>
      <c r="J6" s="31">
        <v>0</v>
      </c>
      <c r="K6" s="6" t="str">
        <f t="shared" si="1"/>
        <v>180 &lt;= 360 DIAS</v>
      </c>
      <c r="L6" s="7" t="str">
        <f>_xlfn.CONCAT(TEXT(MONTH(DATA[[#This Row],[FECHA DE VENCIMIENTO]]),"00"),"-",TEXT(DATA[[#This Row],[FECHA DE VENCIMIENTO]],"MMM"))</f>
        <v>03-Mar</v>
      </c>
    </row>
    <row r="7" spans="1:12" ht="31.2" hidden="1" x14ac:dyDescent="0.3">
      <c r="A7" s="3">
        <v>44620</v>
      </c>
      <c r="B7" s="3">
        <v>43553</v>
      </c>
      <c r="C7" s="4">
        <f t="shared" si="0"/>
        <v>1357</v>
      </c>
      <c r="D7" s="5" t="s">
        <v>17</v>
      </c>
      <c r="E7" s="5">
        <v>20495009638</v>
      </c>
      <c r="F7" s="5" t="s">
        <v>18</v>
      </c>
      <c r="G7" s="5" t="s">
        <v>13</v>
      </c>
      <c r="H7" s="5" t="s">
        <v>7</v>
      </c>
      <c r="I7" s="31">
        <v>8252.11</v>
      </c>
      <c r="J7" s="31">
        <v>0</v>
      </c>
      <c r="K7" s="6" t="str">
        <f t="shared" si="1"/>
        <v>180 &lt;= 360 DIAS</v>
      </c>
      <c r="L7" s="7" t="str">
        <f>_xlfn.CONCAT(TEXT(MONTH(DATA[[#This Row],[FECHA DE VENCIMIENTO]]),"00"),"-",TEXT(DATA[[#This Row],[FECHA DE VENCIMIENTO]],"MMM"))</f>
        <v>03-Mar</v>
      </c>
    </row>
    <row r="8" spans="1:12" ht="31.2" hidden="1" x14ac:dyDescent="0.3">
      <c r="A8" s="3">
        <v>44620</v>
      </c>
      <c r="B8" s="3">
        <v>43575</v>
      </c>
      <c r="C8" s="4">
        <f t="shared" si="0"/>
        <v>1335</v>
      </c>
      <c r="D8" s="5" t="s">
        <v>19</v>
      </c>
      <c r="E8" s="5">
        <v>20495009638</v>
      </c>
      <c r="F8" s="5" t="s">
        <v>18</v>
      </c>
      <c r="G8" s="5" t="s">
        <v>13</v>
      </c>
      <c r="H8" s="5" t="s">
        <v>7</v>
      </c>
      <c r="I8" s="31">
        <v>279.37</v>
      </c>
      <c r="J8" s="31">
        <v>0</v>
      </c>
      <c r="K8" s="6" t="str">
        <f t="shared" si="1"/>
        <v>180 &lt;= 360 DIAS</v>
      </c>
      <c r="L8" s="7" t="str">
        <f>_xlfn.CONCAT(TEXT(MONTH(DATA[[#This Row],[FECHA DE VENCIMIENTO]]),"00"),"-",TEXT(DATA[[#This Row],[FECHA DE VENCIMIENTO]],"MMM"))</f>
        <v>04-Abr</v>
      </c>
    </row>
    <row r="9" spans="1:12" ht="31.2" hidden="1" x14ac:dyDescent="0.3">
      <c r="A9" s="3">
        <v>44620</v>
      </c>
      <c r="B9" s="3">
        <v>43597</v>
      </c>
      <c r="C9" s="4">
        <f t="shared" si="0"/>
        <v>1313</v>
      </c>
      <c r="D9" s="5" t="s">
        <v>20</v>
      </c>
      <c r="E9" s="5">
        <v>20495009638</v>
      </c>
      <c r="F9" s="5" t="s">
        <v>18</v>
      </c>
      <c r="G9" s="5" t="s">
        <v>13</v>
      </c>
      <c r="H9" s="5" t="s">
        <v>7</v>
      </c>
      <c r="I9" s="31">
        <v>20797.5</v>
      </c>
      <c r="J9" s="31">
        <v>0</v>
      </c>
      <c r="K9" s="6" t="str">
        <f t="shared" si="1"/>
        <v>180 &lt;= 360 DIAS</v>
      </c>
      <c r="L9" s="7" t="str">
        <f>_xlfn.CONCAT(TEXT(MONTH(DATA[[#This Row],[FECHA DE VENCIMIENTO]]),"00"),"-",TEXT(DATA[[#This Row],[FECHA DE VENCIMIENTO]],"MMM"))</f>
        <v>05-May</v>
      </c>
    </row>
    <row r="10" spans="1:12" ht="31.2" hidden="1" x14ac:dyDescent="0.3">
      <c r="A10" s="3">
        <v>44620</v>
      </c>
      <c r="B10" s="3">
        <v>43630</v>
      </c>
      <c r="C10" s="4">
        <f t="shared" si="0"/>
        <v>1280</v>
      </c>
      <c r="D10" s="5" t="s">
        <v>21</v>
      </c>
      <c r="E10" s="5">
        <v>20495009638</v>
      </c>
      <c r="F10" s="5" t="s">
        <v>18</v>
      </c>
      <c r="G10" s="5" t="s">
        <v>13</v>
      </c>
      <c r="H10" s="5" t="s">
        <v>7</v>
      </c>
      <c r="I10" s="31">
        <v>279.37</v>
      </c>
      <c r="J10" s="31">
        <v>0</v>
      </c>
      <c r="K10" s="6" t="str">
        <f t="shared" si="1"/>
        <v>180 &lt;= 360 DIAS</v>
      </c>
      <c r="L10" s="7" t="str">
        <f>_xlfn.CONCAT(TEXT(MONTH(DATA[[#This Row],[FECHA DE VENCIMIENTO]]),"00"),"-",TEXT(DATA[[#This Row],[FECHA DE VENCIMIENTO]],"MMM"))</f>
        <v>06-Jun</v>
      </c>
    </row>
    <row r="11" spans="1:12" ht="31.2" hidden="1" x14ac:dyDescent="0.3">
      <c r="A11" s="3">
        <v>44620</v>
      </c>
      <c r="B11" s="3">
        <v>43694</v>
      </c>
      <c r="C11" s="4">
        <f t="shared" si="0"/>
        <v>1216</v>
      </c>
      <c r="D11" s="5" t="s">
        <v>851</v>
      </c>
      <c r="E11" s="5">
        <v>20393180162</v>
      </c>
      <c r="F11" s="5" t="s">
        <v>852</v>
      </c>
      <c r="G11" s="5" t="s">
        <v>46</v>
      </c>
      <c r="H11" s="5" t="s">
        <v>7</v>
      </c>
      <c r="I11" s="31">
        <v>1840.8</v>
      </c>
      <c r="J11" s="31">
        <v>0</v>
      </c>
      <c r="K11" s="6" t="str">
        <f t="shared" si="1"/>
        <v>180 &lt;= 360 DIAS</v>
      </c>
      <c r="L11" s="7" t="str">
        <f>_xlfn.CONCAT(TEXT(MONTH(DATA[[#This Row],[FECHA DE VENCIMIENTO]]),"00"),"-",TEXT(DATA[[#This Row],[FECHA DE VENCIMIENTO]],"MMM"))</f>
        <v>08-Ago</v>
      </c>
    </row>
    <row r="12" spans="1:12" ht="31.2" hidden="1" x14ac:dyDescent="0.3">
      <c r="A12" s="3">
        <v>44620</v>
      </c>
      <c r="B12" s="3">
        <v>43709</v>
      </c>
      <c r="C12" s="4">
        <f t="shared" si="0"/>
        <v>1201</v>
      </c>
      <c r="D12" s="5" t="s">
        <v>853</v>
      </c>
      <c r="E12" s="5">
        <v>20393180162</v>
      </c>
      <c r="F12" s="5" t="s">
        <v>852</v>
      </c>
      <c r="G12" s="5" t="s">
        <v>46</v>
      </c>
      <c r="H12" s="5" t="s">
        <v>7</v>
      </c>
      <c r="I12" s="31">
        <v>1840.8</v>
      </c>
      <c r="J12" s="31">
        <v>0</v>
      </c>
      <c r="K12" s="6" t="str">
        <f t="shared" si="1"/>
        <v>180 &lt;= 360 DIAS</v>
      </c>
      <c r="L12" s="7" t="str">
        <f>_xlfn.CONCAT(TEXT(MONTH(DATA[[#This Row],[FECHA DE VENCIMIENTO]]),"00"),"-",TEXT(DATA[[#This Row],[FECHA DE VENCIMIENTO]],"MMM"))</f>
        <v>09-Set</v>
      </c>
    </row>
    <row r="13" spans="1:12" ht="31.2" hidden="1" x14ac:dyDescent="0.3">
      <c r="A13" s="3">
        <v>44620</v>
      </c>
      <c r="B13" s="3">
        <v>43716</v>
      </c>
      <c r="C13" s="4">
        <f t="shared" si="0"/>
        <v>1194</v>
      </c>
      <c r="D13" s="5">
        <v>5132019</v>
      </c>
      <c r="E13" s="5">
        <v>20393180162</v>
      </c>
      <c r="F13" s="5" t="s">
        <v>852</v>
      </c>
      <c r="G13" s="5" t="s">
        <v>46</v>
      </c>
      <c r="H13" s="5" t="s">
        <v>29</v>
      </c>
      <c r="I13" s="31">
        <v>0</v>
      </c>
      <c r="J13" s="31">
        <v>300.89999999999998</v>
      </c>
      <c r="K13" s="6" t="str">
        <f t="shared" si="1"/>
        <v>180 &lt;= 360 DIAS</v>
      </c>
      <c r="L13" s="7" t="str">
        <f>_xlfn.CONCAT(TEXT(MONTH(DATA[[#This Row],[FECHA DE VENCIMIENTO]]),"00"),"-",TEXT(DATA[[#This Row],[FECHA DE VENCIMIENTO]],"MMM"))</f>
        <v>09-Set</v>
      </c>
    </row>
    <row r="14" spans="1:12" ht="31.2" hidden="1" x14ac:dyDescent="0.3">
      <c r="A14" s="3">
        <v>44620</v>
      </c>
      <c r="B14" s="3">
        <v>43724</v>
      </c>
      <c r="C14" s="4">
        <f t="shared" si="0"/>
        <v>1186</v>
      </c>
      <c r="D14" s="5">
        <v>4492019</v>
      </c>
      <c r="E14" s="5">
        <v>20393180162</v>
      </c>
      <c r="F14" s="5" t="s">
        <v>852</v>
      </c>
      <c r="G14" s="5" t="s">
        <v>46</v>
      </c>
      <c r="H14" s="5" t="s">
        <v>29</v>
      </c>
      <c r="I14" s="31">
        <v>0</v>
      </c>
      <c r="J14" s="31">
        <v>531</v>
      </c>
      <c r="K14" s="6" t="str">
        <f t="shared" si="1"/>
        <v>180 &lt;= 360 DIAS</v>
      </c>
      <c r="L14" s="7" t="str">
        <f>_xlfn.CONCAT(TEXT(MONTH(DATA[[#This Row],[FECHA DE VENCIMIENTO]]),"00"),"-",TEXT(DATA[[#This Row],[FECHA DE VENCIMIENTO]],"MMM"))</f>
        <v>09-Set</v>
      </c>
    </row>
    <row r="15" spans="1:12" hidden="1" x14ac:dyDescent="0.3">
      <c r="A15" s="3">
        <v>44620</v>
      </c>
      <c r="B15" s="3">
        <v>43745</v>
      </c>
      <c r="C15" s="4">
        <f t="shared" si="0"/>
        <v>1165</v>
      </c>
      <c r="D15" s="5">
        <v>6642019</v>
      </c>
      <c r="E15" s="5">
        <v>20508029731</v>
      </c>
      <c r="F15" s="5" t="s">
        <v>28</v>
      </c>
      <c r="G15" s="5" t="s">
        <v>16</v>
      </c>
      <c r="H15" s="5" t="s">
        <v>29</v>
      </c>
      <c r="I15" s="31">
        <v>0</v>
      </c>
      <c r="J15" s="31">
        <v>623.04</v>
      </c>
      <c r="K15" s="6" t="str">
        <f t="shared" si="1"/>
        <v>180 &lt;= 360 DIAS</v>
      </c>
      <c r="L15" s="7" t="str">
        <f>_xlfn.CONCAT(TEXT(MONTH(DATA[[#This Row],[FECHA DE VENCIMIENTO]]),"00"),"-",TEXT(DATA[[#This Row],[FECHA DE VENCIMIENTO]],"MMM"))</f>
        <v>10-Oct</v>
      </c>
    </row>
    <row r="16" spans="1:12" hidden="1" x14ac:dyDescent="0.3">
      <c r="A16" s="3">
        <v>44620</v>
      </c>
      <c r="B16" s="3">
        <v>43807</v>
      </c>
      <c r="C16" s="4">
        <f t="shared" si="0"/>
        <v>1103</v>
      </c>
      <c r="D16" s="5" t="s">
        <v>1118</v>
      </c>
      <c r="E16" s="5">
        <v>20508029731</v>
      </c>
      <c r="F16" s="5" t="s">
        <v>28</v>
      </c>
      <c r="G16" s="5" t="s">
        <v>16</v>
      </c>
      <c r="H16" s="5" t="s">
        <v>7</v>
      </c>
      <c r="I16" s="31">
        <v>354</v>
      </c>
      <c r="J16" s="31">
        <v>0</v>
      </c>
      <c r="K16" s="6" t="str">
        <f t="shared" si="1"/>
        <v>180 &lt;= 360 DIAS</v>
      </c>
      <c r="L16" s="7" t="str">
        <f>_xlfn.CONCAT(TEXT(MONTH(DATA[[#This Row],[FECHA DE VENCIMIENTO]]),"00"),"-",TEXT(DATA[[#This Row],[FECHA DE VENCIMIENTO]],"MMM"))</f>
        <v>12-Dic</v>
      </c>
    </row>
    <row r="17" spans="1:12" hidden="1" x14ac:dyDescent="0.3">
      <c r="A17" s="3">
        <v>44620</v>
      </c>
      <c r="B17" s="3">
        <v>43822</v>
      </c>
      <c r="C17" s="4">
        <f t="shared" si="0"/>
        <v>1088</v>
      </c>
      <c r="D17" s="5">
        <v>6262019</v>
      </c>
      <c r="E17" s="5">
        <v>20533334271</v>
      </c>
      <c r="F17" s="5" t="s">
        <v>32</v>
      </c>
      <c r="G17" s="5" t="s">
        <v>33</v>
      </c>
      <c r="H17" s="5" t="s">
        <v>29</v>
      </c>
      <c r="I17" s="31">
        <v>0</v>
      </c>
      <c r="J17" s="31">
        <v>132.75</v>
      </c>
      <c r="K17" s="6" t="str">
        <f t="shared" si="1"/>
        <v>180 &lt;= 360 DIAS</v>
      </c>
      <c r="L17" s="7" t="str">
        <f>_xlfn.CONCAT(TEXT(MONTH(DATA[[#This Row],[FECHA DE VENCIMIENTO]]),"00"),"-",TEXT(DATA[[#This Row],[FECHA DE VENCIMIENTO]],"MMM"))</f>
        <v>12-Dic</v>
      </c>
    </row>
    <row r="18" spans="1:12" hidden="1" x14ac:dyDescent="0.3">
      <c r="A18" s="3">
        <v>44620</v>
      </c>
      <c r="B18" s="3">
        <v>43827</v>
      </c>
      <c r="C18" s="4">
        <f t="shared" si="0"/>
        <v>1083</v>
      </c>
      <c r="D18" s="5" t="s">
        <v>22</v>
      </c>
      <c r="E18" s="5">
        <v>20390221500</v>
      </c>
      <c r="F18" s="5" t="s">
        <v>23</v>
      </c>
      <c r="G18" s="5" t="s">
        <v>16</v>
      </c>
      <c r="H18" s="5" t="s">
        <v>7</v>
      </c>
      <c r="I18" s="31">
        <v>18366.7</v>
      </c>
      <c r="J18" s="31">
        <v>0</v>
      </c>
      <c r="K18" s="6" t="str">
        <f t="shared" si="1"/>
        <v>180 &lt;= 360 DIAS</v>
      </c>
      <c r="L18" s="7" t="str">
        <f>_xlfn.CONCAT(TEXT(MONTH(DATA[[#This Row],[FECHA DE VENCIMIENTO]]),"00"),"-",TEXT(DATA[[#This Row],[FECHA DE VENCIMIENTO]],"MMM"))</f>
        <v>12-Dic</v>
      </c>
    </row>
    <row r="19" spans="1:12" hidden="1" x14ac:dyDescent="0.3">
      <c r="A19" s="3">
        <v>44620</v>
      </c>
      <c r="B19" s="3">
        <v>43828</v>
      </c>
      <c r="C19" s="4">
        <f t="shared" si="0"/>
        <v>1082</v>
      </c>
      <c r="D19" s="5" t="s">
        <v>24</v>
      </c>
      <c r="E19" s="5">
        <v>20563755629</v>
      </c>
      <c r="F19" s="5" t="s">
        <v>25</v>
      </c>
      <c r="G19" s="5" t="s">
        <v>26</v>
      </c>
      <c r="H19" s="5" t="s">
        <v>7</v>
      </c>
      <c r="I19" s="31">
        <v>442.6</v>
      </c>
      <c r="J19" s="31">
        <v>0</v>
      </c>
      <c r="K19" s="6" t="str">
        <f t="shared" si="1"/>
        <v>180 &lt;= 360 DIAS</v>
      </c>
      <c r="L19" s="7" t="str">
        <f>_xlfn.CONCAT(TEXT(MONTH(DATA[[#This Row],[FECHA DE VENCIMIENTO]]),"00"),"-",TEXT(DATA[[#This Row],[FECHA DE VENCIMIENTO]],"MMM"))</f>
        <v>12-Dic</v>
      </c>
    </row>
    <row r="20" spans="1:12" hidden="1" x14ac:dyDescent="0.3">
      <c r="A20" s="3">
        <v>44620</v>
      </c>
      <c r="B20" s="3">
        <v>43828</v>
      </c>
      <c r="C20" s="4">
        <f t="shared" si="0"/>
        <v>1082</v>
      </c>
      <c r="D20" s="5">
        <v>6382019</v>
      </c>
      <c r="E20" s="5">
        <v>20533334271</v>
      </c>
      <c r="F20" s="5" t="s">
        <v>32</v>
      </c>
      <c r="G20" s="5" t="s">
        <v>33</v>
      </c>
      <c r="H20" s="5" t="s">
        <v>29</v>
      </c>
      <c r="I20" s="31">
        <v>0</v>
      </c>
      <c r="J20" s="31">
        <v>212.4</v>
      </c>
      <c r="K20" s="6" t="str">
        <f t="shared" si="1"/>
        <v>180 &lt;= 360 DIAS</v>
      </c>
      <c r="L20" s="7" t="str">
        <f>_xlfn.CONCAT(TEXT(MONTH(DATA[[#This Row],[FECHA DE VENCIMIENTO]]),"00"),"-",TEXT(DATA[[#This Row],[FECHA DE VENCIMIENTO]],"MMM"))</f>
        <v>12-Dic</v>
      </c>
    </row>
    <row r="21" spans="1:12" hidden="1" x14ac:dyDescent="0.3">
      <c r="A21" s="3">
        <v>44620</v>
      </c>
      <c r="B21" s="3">
        <v>43836</v>
      </c>
      <c r="C21" s="4">
        <f t="shared" si="0"/>
        <v>1074</v>
      </c>
      <c r="D21" s="5" t="s">
        <v>30</v>
      </c>
      <c r="E21" s="5">
        <v>20508029731</v>
      </c>
      <c r="F21" s="5" t="s">
        <v>28</v>
      </c>
      <c r="G21" s="5" t="s">
        <v>16</v>
      </c>
      <c r="H21" s="5" t="s">
        <v>29</v>
      </c>
      <c r="I21" s="31">
        <v>0</v>
      </c>
      <c r="J21" s="31">
        <v>40.1</v>
      </c>
      <c r="K21" s="6" t="str">
        <f t="shared" si="1"/>
        <v>180 &lt;= 360 DIAS</v>
      </c>
      <c r="L21" s="7" t="str">
        <f>_xlfn.CONCAT(TEXT(MONTH(DATA[[#This Row],[FECHA DE VENCIMIENTO]]),"00"),"-",TEXT(DATA[[#This Row],[FECHA DE VENCIMIENTO]],"MMM"))</f>
        <v>01-Ene</v>
      </c>
    </row>
    <row r="22" spans="1:12" hidden="1" x14ac:dyDescent="0.3">
      <c r="A22" s="3">
        <v>44620</v>
      </c>
      <c r="B22" s="3">
        <v>43836</v>
      </c>
      <c r="C22" s="4">
        <f t="shared" si="0"/>
        <v>1074</v>
      </c>
      <c r="D22" s="5" t="s">
        <v>27</v>
      </c>
      <c r="E22" s="5">
        <v>20508029731</v>
      </c>
      <c r="F22" s="5" t="s">
        <v>28</v>
      </c>
      <c r="G22" s="5" t="s">
        <v>16</v>
      </c>
      <c r="H22" s="5" t="s">
        <v>29</v>
      </c>
      <c r="I22" s="31">
        <v>0</v>
      </c>
      <c r="J22" s="31">
        <v>49.75</v>
      </c>
      <c r="K22" s="6" t="str">
        <f t="shared" si="1"/>
        <v>180 &lt;= 360 DIAS</v>
      </c>
      <c r="L22" s="7" t="str">
        <f>_xlfn.CONCAT(TEXT(MONTH(DATA[[#This Row],[FECHA DE VENCIMIENTO]]),"00"),"-",TEXT(DATA[[#This Row],[FECHA DE VENCIMIENTO]],"MMM"))</f>
        <v>01-Ene</v>
      </c>
    </row>
    <row r="23" spans="1:12" hidden="1" x14ac:dyDescent="0.3">
      <c r="A23" s="3">
        <v>44620</v>
      </c>
      <c r="B23" s="3">
        <v>43838</v>
      </c>
      <c r="C23" s="4">
        <f t="shared" si="0"/>
        <v>1072</v>
      </c>
      <c r="D23" s="5" t="s">
        <v>31</v>
      </c>
      <c r="E23" s="5">
        <v>20533334271</v>
      </c>
      <c r="F23" s="5" t="s">
        <v>32</v>
      </c>
      <c r="G23" s="5" t="s">
        <v>33</v>
      </c>
      <c r="H23" s="5" t="s">
        <v>7</v>
      </c>
      <c r="I23" s="31">
        <v>1348.03</v>
      </c>
      <c r="J23" s="31">
        <v>0</v>
      </c>
      <c r="K23" s="6" t="str">
        <f t="shared" si="1"/>
        <v>180 &lt;= 360 DIAS</v>
      </c>
      <c r="L23" s="7" t="str">
        <f>_xlfn.CONCAT(TEXT(MONTH(DATA[[#This Row],[FECHA DE VENCIMIENTO]]),"00"),"-",TEXT(DATA[[#This Row],[FECHA DE VENCIMIENTO]],"MMM"))</f>
        <v>01-Ene</v>
      </c>
    </row>
    <row r="24" spans="1:12" hidden="1" x14ac:dyDescent="0.3">
      <c r="A24" s="3">
        <v>44620</v>
      </c>
      <c r="B24" s="3">
        <v>43839</v>
      </c>
      <c r="C24" s="4">
        <f t="shared" si="0"/>
        <v>1071</v>
      </c>
      <c r="D24" s="5" t="s">
        <v>598</v>
      </c>
      <c r="E24" s="5">
        <v>20533334271</v>
      </c>
      <c r="F24" s="5" t="s">
        <v>32</v>
      </c>
      <c r="G24" s="5" t="s">
        <v>33</v>
      </c>
      <c r="H24" s="5" t="s">
        <v>7</v>
      </c>
      <c r="I24" s="31">
        <v>1604.8</v>
      </c>
      <c r="J24" s="31">
        <v>0</v>
      </c>
      <c r="K24" s="6" t="str">
        <f t="shared" si="1"/>
        <v>180 &lt;= 360 DIAS</v>
      </c>
      <c r="L24" s="7" t="str">
        <f>_xlfn.CONCAT(TEXT(MONTH(DATA[[#This Row],[FECHA DE VENCIMIENTO]]),"00"),"-",TEXT(DATA[[#This Row],[FECHA DE VENCIMIENTO]],"MMM"))</f>
        <v>01-Ene</v>
      </c>
    </row>
    <row r="25" spans="1:12" hidden="1" x14ac:dyDescent="0.3">
      <c r="A25" s="3">
        <v>44620</v>
      </c>
      <c r="B25" s="3">
        <v>43842</v>
      </c>
      <c r="C25" s="4">
        <f t="shared" si="0"/>
        <v>1068</v>
      </c>
      <c r="D25" s="5" t="s">
        <v>593</v>
      </c>
      <c r="E25" s="5">
        <v>20533334271</v>
      </c>
      <c r="F25" s="5" t="s">
        <v>32</v>
      </c>
      <c r="G25" s="5" t="s">
        <v>33</v>
      </c>
      <c r="H25" s="5" t="s">
        <v>7</v>
      </c>
      <c r="I25" s="31">
        <v>802.4</v>
      </c>
      <c r="J25" s="31">
        <v>0</v>
      </c>
      <c r="K25" s="6" t="str">
        <f t="shared" si="1"/>
        <v>180 &lt;= 360 DIAS</v>
      </c>
      <c r="L25" s="7" t="str">
        <f>_xlfn.CONCAT(TEXT(MONTH(DATA[[#This Row],[FECHA DE VENCIMIENTO]]),"00"),"-",TEXT(DATA[[#This Row],[FECHA DE VENCIMIENTO]],"MMM"))</f>
        <v>01-Ene</v>
      </c>
    </row>
    <row r="26" spans="1:12" hidden="1" x14ac:dyDescent="0.3">
      <c r="A26" s="3">
        <v>44620</v>
      </c>
      <c r="B26" s="3">
        <v>43843</v>
      </c>
      <c r="C26" s="4">
        <f t="shared" si="0"/>
        <v>1067</v>
      </c>
      <c r="D26" s="5" t="s">
        <v>34</v>
      </c>
      <c r="E26" s="5">
        <v>20533334271</v>
      </c>
      <c r="F26" s="5" t="s">
        <v>32</v>
      </c>
      <c r="G26" s="5" t="s">
        <v>33</v>
      </c>
      <c r="H26" s="5" t="s">
        <v>7</v>
      </c>
      <c r="I26" s="31">
        <v>2294.44</v>
      </c>
      <c r="J26" s="31">
        <v>0</v>
      </c>
      <c r="K26" s="6" t="str">
        <f t="shared" si="1"/>
        <v>180 &lt;= 360 DIAS</v>
      </c>
      <c r="L26" s="7" t="str">
        <f>_xlfn.CONCAT(TEXT(MONTH(DATA[[#This Row],[FECHA DE VENCIMIENTO]]),"00"),"-",TEXT(DATA[[#This Row],[FECHA DE VENCIMIENTO]],"MMM"))</f>
        <v>01-Ene</v>
      </c>
    </row>
    <row r="27" spans="1:12" ht="31.2" hidden="1" x14ac:dyDescent="0.3">
      <c r="A27" s="3">
        <v>44620</v>
      </c>
      <c r="B27" s="3">
        <v>43844</v>
      </c>
      <c r="C27" s="4">
        <f t="shared" si="0"/>
        <v>1066</v>
      </c>
      <c r="D27" s="5" t="s">
        <v>35</v>
      </c>
      <c r="E27" s="5">
        <v>20307167442</v>
      </c>
      <c r="F27" s="5" t="s">
        <v>36</v>
      </c>
      <c r="G27" s="5" t="s">
        <v>26</v>
      </c>
      <c r="H27" s="5" t="s">
        <v>7</v>
      </c>
      <c r="I27" s="31">
        <v>219.11</v>
      </c>
      <c r="J27" s="31">
        <v>0</v>
      </c>
      <c r="K27" s="6" t="str">
        <f t="shared" si="1"/>
        <v>180 &lt;= 360 DIAS</v>
      </c>
      <c r="L27" s="7" t="str">
        <f>_xlfn.CONCAT(TEXT(MONTH(DATA[[#This Row],[FECHA DE VENCIMIENTO]]),"00"),"-",TEXT(DATA[[#This Row],[FECHA DE VENCIMIENTO]],"MMM"))</f>
        <v>01-Ene</v>
      </c>
    </row>
    <row r="28" spans="1:12" hidden="1" x14ac:dyDescent="0.3">
      <c r="A28" s="3">
        <v>44620</v>
      </c>
      <c r="B28" s="3">
        <v>43850</v>
      </c>
      <c r="C28" s="4">
        <f t="shared" si="0"/>
        <v>1060</v>
      </c>
      <c r="D28" s="5">
        <v>6702019</v>
      </c>
      <c r="E28" s="5">
        <v>20533334271</v>
      </c>
      <c r="F28" s="5" t="s">
        <v>32</v>
      </c>
      <c r="G28" s="5" t="s">
        <v>33</v>
      </c>
      <c r="H28" s="5" t="s">
        <v>29</v>
      </c>
      <c r="I28" s="31">
        <v>0</v>
      </c>
      <c r="J28" s="31">
        <v>181.43</v>
      </c>
      <c r="K28" s="6" t="str">
        <f t="shared" si="1"/>
        <v>180 &lt;= 360 DIAS</v>
      </c>
      <c r="L28" s="7" t="str">
        <f>_xlfn.CONCAT(TEXT(MONTH(DATA[[#This Row],[FECHA DE VENCIMIENTO]]),"00"),"-",TEXT(DATA[[#This Row],[FECHA DE VENCIMIENTO]],"MMM"))</f>
        <v>01-Ene</v>
      </c>
    </row>
    <row r="29" spans="1:12" hidden="1" x14ac:dyDescent="0.3">
      <c r="A29" s="3">
        <v>44620</v>
      </c>
      <c r="B29" s="3">
        <v>43855</v>
      </c>
      <c r="C29" s="4">
        <f t="shared" si="0"/>
        <v>1055</v>
      </c>
      <c r="D29" s="5" t="s">
        <v>592</v>
      </c>
      <c r="E29" s="5">
        <v>20533334271</v>
      </c>
      <c r="F29" s="5" t="s">
        <v>32</v>
      </c>
      <c r="G29" s="5" t="s">
        <v>33</v>
      </c>
      <c r="H29" s="5" t="s">
        <v>7</v>
      </c>
      <c r="I29" s="31">
        <v>802.4</v>
      </c>
      <c r="J29" s="31">
        <v>0</v>
      </c>
      <c r="K29" s="6" t="str">
        <f t="shared" si="1"/>
        <v>180 &lt;= 360 DIAS</v>
      </c>
      <c r="L29" s="7" t="str">
        <f>_xlfn.CONCAT(TEXT(MONTH(DATA[[#This Row],[FECHA DE VENCIMIENTO]]),"00"),"-",TEXT(DATA[[#This Row],[FECHA DE VENCIMIENTO]],"MMM"))</f>
        <v>01-Ene</v>
      </c>
    </row>
    <row r="30" spans="1:12" hidden="1" x14ac:dyDescent="0.3">
      <c r="A30" s="3">
        <v>44620</v>
      </c>
      <c r="B30" s="3">
        <v>43857</v>
      </c>
      <c r="C30" s="4">
        <f t="shared" si="0"/>
        <v>1053</v>
      </c>
      <c r="D30" s="5" t="s">
        <v>591</v>
      </c>
      <c r="E30" s="5">
        <v>20533334271</v>
      </c>
      <c r="F30" s="5" t="s">
        <v>32</v>
      </c>
      <c r="G30" s="5" t="s">
        <v>33</v>
      </c>
      <c r="H30" s="5" t="s">
        <v>7</v>
      </c>
      <c r="I30" s="31">
        <v>1362.9</v>
      </c>
      <c r="J30" s="31">
        <v>0</v>
      </c>
      <c r="K30" s="6" t="str">
        <f t="shared" si="1"/>
        <v>180 &lt;= 360 DIAS</v>
      </c>
      <c r="L30" s="7" t="str">
        <f>_xlfn.CONCAT(TEXT(MONTH(DATA[[#This Row],[FECHA DE VENCIMIENTO]]),"00"),"-",TEXT(DATA[[#This Row],[FECHA DE VENCIMIENTO]],"MMM"))</f>
        <v>01-Ene</v>
      </c>
    </row>
    <row r="31" spans="1:12" hidden="1" x14ac:dyDescent="0.3">
      <c r="A31" s="3">
        <v>44620</v>
      </c>
      <c r="B31" s="3">
        <v>43857</v>
      </c>
      <c r="C31" s="4">
        <f t="shared" si="0"/>
        <v>1053</v>
      </c>
      <c r="D31" s="5">
        <v>6802019</v>
      </c>
      <c r="E31" s="5">
        <v>20533334271</v>
      </c>
      <c r="F31" s="5" t="s">
        <v>32</v>
      </c>
      <c r="G31" s="5" t="s">
        <v>33</v>
      </c>
      <c r="H31" s="5" t="s">
        <v>29</v>
      </c>
      <c r="I31" s="31">
        <v>0</v>
      </c>
      <c r="J31" s="31">
        <v>212.4</v>
      </c>
      <c r="K31" s="6" t="str">
        <f t="shared" si="1"/>
        <v>180 &lt;= 360 DIAS</v>
      </c>
      <c r="L31" s="7" t="str">
        <f>_xlfn.CONCAT(TEXT(MONTH(DATA[[#This Row],[FECHA DE VENCIMIENTO]]),"00"),"-",TEXT(DATA[[#This Row],[FECHA DE VENCIMIENTO]],"MMM"))</f>
        <v>01-Ene</v>
      </c>
    </row>
    <row r="32" spans="1:12" hidden="1" x14ac:dyDescent="0.3">
      <c r="A32" s="3">
        <v>44620</v>
      </c>
      <c r="B32" s="3">
        <v>43859</v>
      </c>
      <c r="C32" s="4">
        <f t="shared" si="0"/>
        <v>1051</v>
      </c>
      <c r="D32" s="5" t="s">
        <v>37</v>
      </c>
      <c r="E32" s="5">
        <v>20508029731</v>
      </c>
      <c r="F32" s="5" t="s">
        <v>28</v>
      </c>
      <c r="G32" s="5" t="s">
        <v>16</v>
      </c>
      <c r="H32" s="5" t="s">
        <v>7</v>
      </c>
      <c r="I32" s="31">
        <v>86.73</v>
      </c>
      <c r="J32" s="31">
        <v>0</v>
      </c>
      <c r="K32" s="6" t="str">
        <f t="shared" si="1"/>
        <v>180 &lt;= 360 DIAS</v>
      </c>
      <c r="L32" s="7" t="str">
        <f>_xlfn.CONCAT(TEXT(MONTH(DATA[[#This Row],[FECHA DE VENCIMIENTO]]),"00"),"-",TEXT(DATA[[#This Row],[FECHA DE VENCIMIENTO]],"MMM"))</f>
        <v>01-Ene</v>
      </c>
    </row>
    <row r="33" spans="1:12" hidden="1" x14ac:dyDescent="0.3">
      <c r="A33" s="3">
        <v>44620</v>
      </c>
      <c r="B33" s="3">
        <v>43862</v>
      </c>
      <c r="C33" s="4">
        <f t="shared" si="0"/>
        <v>1048</v>
      </c>
      <c r="D33" s="5" t="s">
        <v>590</v>
      </c>
      <c r="E33" s="5">
        <v>20533334271</v>
      </c>
      <c r="F33" s="5" t="s">
        <v>32</v>
      </c>
      <c r="G33" s="5" t="s">
        <v>33</v>
      </c>
      <c r="H33" s="5" t="s">
        <v>7</v>
      </c>
      <c r="I33" s="31">
        <v>1155.46</v>
      </c>
      <c r="J33" s="31">
        <v>0</v>
      </c>
      <c r="K33" s="6" t="str">
        <f t="shared" si="1"/>
        <v>180 &lt;= 360 DIAS</v>
      </c>
      <c r="L33" s="7" t="str">
        <f>_xlfn.CONCAT(TEXT(MONTH(DATA[[#This Row],[FECHA DE VENCIMIENTO]]),"00"),"-",TEXT(DATA[[#This Row],[FECHA DE VENCIMIENTO]],"MMM"))</f>
        <v>02-Feb</v>
      </c>
    </row>
    <row r="34" spans="1:12" hidden="1" x14ac:dyDescent="0.3">
      <c r="A34" s="3">
        <v>44620</v>
      </c>
      <c r="B34" s="3">
        <v>43862</v>
      </c>
      <c r="C34" s="4">
        <f t="shared" si="0"/>
        <v>1048</v>
      </c>
      <c r="D34" s="5" t="s">
        <v>596</v>
      </c>
      <c r="E34" s="5">
        <v>20533334271</v>
      </c>
      <c r="F34" s="5" t="s">
        <v>32</v>
      </c>
      <c r="G34" s="5" t="s">
        <v>33</v>
      </c>
      <c r="H34" s="5" t="s">
        <v>7</v>
      </c>
      <c r="I34" s="31">
        <v>560.5</v>
      </c>
      <c r="J34" s="31">
        <v>0</v>
      </c>
      <c r="K34" s="6" t="str">
        <f t="shared" si="1"/>
        <v>180 &lt;= 360 DIAS</v>
      </c>
      <c r="L34" s="7" t="str">
        <f>_xlfn.CONCAT(TEXT(MONTH(DATA[[#This Row],[FECHA DE VENCIMIENTO]]),"00"),"-",TEXT(DATA[[#This Row],[FECHA DE VENCIMIENTO]],"MMM"))</f>
        <v>02-Feb</v>
      </c>
    </row>
    <row r="35" spans="1:12" hidden="1" x14ac:dyDescent="0.3">
      <c r="A35" s="3">
        <v>44620</v>
      </c>
      <c r="B35" s="3">
        <v>43867</v>
      </c>
      <c r="C35" s="4">
        <f t="shared" si="0"/>
        <v>1043</v>
      </c>
      <c r="D35" s="5">
        <v>6922019</v>
      </c>
      <c r="E35" s="5">
        <v>20533334271</v>
      </c>
      <c r="F35" s="5" t="s">
        <v>32</v>
      </c>
      <c r="G35" s="5" t="s">
        <v>33</v>
      </c>
      <c r="H35" s="5" t="s">
        <v>29</v>
      </c>
      <c r="I35" s="31">
        <v>0</v>
      </c>
      <c r="J35" s="31">
        <v>601.79999999999995</v>
      </c>
      <c r="K35" s="6" t="str">
        <f t="shared" si="1"/>
        <v>180 &lt;= 360 DIAS</v>
      </c>
      <c r="L35" s="7" t="str">
        <f>_xlfn.CONCAT(TEXT(MONTH(DATA[[#This Row],[FECHA DE VENCIMIENTO]]),"00"),"-",TEXT(DATA[[#This Row],[FECHA DE VENCIMIENTO]],"MMM"))</f>
        <v>02-Feb</v>
      </c>
    </row>
    <row r="36" spans="1:12" hidden="1" x14ac:dyDescent="0.3">
      <c r="A36" s="3">
        <v>44620</v>
      </c>
      <c r="B36" s="3">
        <v>43867</v>
      </c>
      <c r="C36" s="4">
        <f t="shared" si="0"/>
        <v>1043</v>
      </c>
      <c r="D36" s="5">
        <v>6852019</v>
      </c>
      <c r="E36" s="5">
        <v>20533334271</v>
      </c>
      <c r="F36" s="5" t="s">
        <v>32</v>
      </c>
      <c r="G36" s="5" t="s">
        <v>33</v>
      </c>
      <c r="H36" s="5" t="s">
        <v>29</v>
      </c>
      <c r="I36" s="31">
        <v>0</v>
      </c>
      <c r="J36" s="31">
        <v>398.25</v>
      </c>
      <c r="K36" s="6" t="str">
        <f t="shared" si="1"/>
        <v>180 &lt;= 360 DIAS</v>
      </c>
      <c r="L36" s="7" t="str">
        <f>_xlfn.CONCAT(TEXT(MONTH(DATA[[#This Row],[FECHA DE VENCIMIENTO]]),"00"),"-",TEXT(DATA[[#This Row],[FECHA DE VENCIMIENTO]],"MMM"))</f>
        <v>02-Feb</v>
      </c>
    </row>
    <row r="37" spans="1:12" hidden="1" x14ac:dyDescent="0.3">
      <c r="A37" s="3">
        <v>44620</v>
      </c>
      <c r="B37" s="3">
        <v>43867</v>
      </c>
      <c r="C37" s="4">
        <f t="shared" si="0"/>
        <v>1043</v>
      </c>
      <c r="D37" s="5" t="s">
        <v>597</v>
      </c>
      <c r="E37" s="5">
        <v>20533334271</v>
      </c>
      <c r="F37" s="5" t="s">
        <v>32</v>
      </c>
      <c r="G37" s="5" t="s">
        <v>33</v>
      </c>
      <c r="H37" s="5" t="s">
        <v>7</v>
      </c>
      <c r="I37" s="31">
        <v>560.5</v>
      </c>
      <c r="J37" s="31">
        <v>0</v>
      </c>
      <c r="K37" s="6" t="str">
        <f t="shared" si="1"/>
        <v>180 &lt;= 360 DIAS</v>
      </c>
      <c r="L37" s="7" t="str">
        <f>_xlfn.CONCAT(TEXT(MONTH(DATA[[#This Row],[FECHA DE VENCIMIENTO]]),"00"),"-",TEXT(DATA[[#This Row],[FECHA DE VENCIMIENTO]],"MMM"))</f>
        <v>02-Feb</v>
      </c>
    </row>
    <row r="38" spans="1:12" ht="31.2" hidden="1" x14ac:dyDescent="0.3">
      <c r="A38" s="3">
        <v>44620</v>
      </c>
      <c r="B38" s="3">
        <v>43867</v>
      </c>
      <c r="C38" s="4">
        <f t="shared" si="0"/>
        <v>1043</v>
      </c>
      <c r="D38" s="5">
        <v>4272019</v>
      </c>
      <c r="E38" s="5">
        <v>20393180162</v>
      </c>
      <c r="F38" s="5" t="s">
        <v>852</v>
      </c>
      <c r="G38" s="5" t="s">
        <v>46</v>
      </c>
      <c r="H38" s="5" t="s">
        <v>29</v>
      </c>
      <c r="I38" s="31">
        <v>0</v>
      </c>
      <c r="J38" s="31">
        <v>1032.5</v>
      </c>
      <c r="K38" s="6" t="str">
        <f t="shared" si="1"/>
        <v>180 &lt;= 360 DIAS</v>
      </c>
      <c r="L38" s="7" t="str">
        <f>_xlfn.CONCAT(TEXT(MONTH(DATA[[#This Row],[FECHA DE VENCIMIENTO]]),"00"),"-",TEXT(DATA[[#This Row],[FECHA DE VENCIMIENTO]],"MMM"))</f>
        <v>02-Feb</v>
      </c>
    </row>
    <row r="39" spans="1:12" hidden="1" x14ac:dyDescent="0.3">
      <c r="A39" s="3">
        <v>44620</v>
      </c>
      <c r="B39" s="3">
        <v>43877</v>
      </c>
      <c r="C39" s="4">
        <f t="shared" si="0"/>
        <v>1033</v>
      </c>
      <c r="D39" s="5" t="s">
        <v>38</v>
      </c>
      <c r="E39" s="5">
        <v>20533334271</v>
      </c>
      <c r="F39" s="5" t="s">
        <v>32</v>
      </c>
      <c r="G39" s="5" t="s">
        <v>33</v>
      </c>
      <c r="H39" s="5" t="s">
        <v>29</v>
      </c>
      <c r="I39" s="31">
        <v>0</v>
      </c>
      <c r="J39" s="31">
        <v>41.21</v>
      </c>
      <c r="K39" s="6" t="str">
        <f t="shared" si="1"/>
        <v>180 &lt;= 360 DIAS</v>
      </c>
      <c r="L39" s="7" t="str">
        <f>_xlfn.CONCAT(TEXT(MONTH(DATA[[#This Row],[FECHA DE VENCIMIENTO]]),"00"),"-",TEXT(DATA[[#This Row],[FECHA DE VENCIMIENTO]],"MMM"))</f>
        <v>02-Feb</v>
      </c>
    </row>
    <row r="40" spans="1:12" hidden="1" x14ac:dyDescent="0.3">
      <c r="A40" s="3">
        <v>44620</v>
      </c>
      <c r="B40" s="3">
        <v>43877</v>
      </c>
      <c r="C40" s="4">
        <f t="shared" si="0"/>
        <v>1033</v>
      </c>
      <c r="D40" s="5" t="s">
        <v>39</v>
      </c>
      <c r="E40" s="5">
        <v>20533334271</v>
      </c>
      <c r="F40" s="5" t="s">
        <v>32</v>
      </c>
      <c r="G40" s="5" t="s">
        <v>33</v>
      </c>
      <c r="H40" s="5" t="s">
        <v>29</v>
      </c>
      <c r="I40" s="31">
        <v>0</v>
      </c>
      <c r="J40" s="31">
        <v>36.96</v>
      </c>
      <c r="K40" s="6" t="str">
        <f t="shared" si="1"/>
        <v>180 &lt;= 360 DIAS</v>
      </c>
      <c r="L40" s="7" t="str">
        <f>_xlfn.CONCAT(TEXT(MONTH(DATA[[#This Row],[FECHA DE VENCIMIENTO]]),"00"),"-",TEXT(DATA[[#This Row],[FECHA DE VENCIMIENTO]],"MMM"))</f>
        <v>02-Feb</v>
      </c>
    </row>
    <row r="41" spans="1:12" hidden="1" x14ac:dyDescent="0.3">
      <c r="A41" s="3">
        <v>44620</v>
      </c>
      <c r="B41" s="3">
        <v>43896</v>
      </c>
      <c r="C41" s="4">
        <f t="shared" si="0"/>
        <v>1014</v>
      </c>
      <c r="D41" s="5" t="s">
        <v>595</v>
      </c>
      <c r="E41" s="5">
        <v>20533334271</v>
      </c>
      <c r="F41" s="5" t="s">
        <v>32</v>
      </c>
      <c r="G41" s="5" t="s">
        <v>33</v>
      </c>
      <c r="H41" s="5" t="s">
        <v>7</v>
      </c>
      <c r="I41" s="31">
        <v>1348.03</v>
      </c>
      <c r="J41" s="31">
        <v>0</v>
      </c>
      <c r="K41" s="6" t="str">
        <f t="shared" si="1"/>
        <v>180 &lt;= 360 DIAS</v>
      </c>
      <c r="L41" s="7" t="str">
        <f>_xlfn.CONCAT(TEXT(MONTH(DATA[[#This Row],[FECHA DE VENCIMIENTO]]),"00"),"-",TEXT(DATA[[#This Row],[FECHA DE VENCIMIENTO]],"MMM"))</f>
        <v>03-Mar</v>
      </c>
    </row>
    <row r="42" spans="1:12" hidden="1" x14ac:dyDescent="0.3">
      <c r="A42" s="3">
        <v>44620</v>
      </c>
      <c r="B42" s="3">
        <v>43898</v>
      </c>
      <c r="C42" s="4">
        <f t="shared" si="0"/>
        <v>1012</v>
      </c>
      <c r="D42" s="5" t="s">
        <v>40</v>
      </c>
      <c r="E42" s="5">
        <v>20533334271</v>
      </c>
      <c r="F42" s="5" t="s">
        <v>32</v>
      </c>
      <c r="G42" s="5" t="s">
        <v>33</v>
      </c>
      <c r="H42" s="5" t="s">
        <v>7</v>
      </c>
      <c r="I42" s="31">
        <v>44.56</v>
      </c>
      <c r="J42" s="31">
        <v>0</v>
      </c>
      <c r="K42" s="6" t="str">
        <f t="shared" si="1"/>
        <v>180 &lt;= 360 DIAS</v>
      </c>
      <c r="L42" s="7" t="str">
        <f>_xlfn.CONCAT(TEXT(MONTH(DATA[[#This Row],[FECHA DE VENCIMIENTO]]),"00"),"-",TEXT(DATA[[#This Row],[FECHA DE VENCIMIENTO]],"MMM"))</f>
        <v>03-Mar</v>
      </c>
    </row>
    <row r="43" spans="1:12" hidden="1" x14ac:dyDescent="0.3">
      <c r="A43" s="3">
        <v>44620</v>
      </c>
      <c r="B43" s="3">
        <v>43898</v>
      </c>
      <c r="C43" s="4">
        <f t="shared" si="0"/>
        <v>1012</v>
      </c>
      <c r="D43" s="5" t="s">
        <v>41</v>
      </c>
      <c r="E43" s="5">
        <v>20533334271</v>
      </c>
      <c r="F43" s="5" t="s">
        <v>32</v>
      </c>
      <c r="G43" s="5" t="s">
        <v>33</v>
      </c>
      <c r="H43" s="5" t="s">
        <v>7</v>
      </c>
      <c r="I43" s="31">
        <v>64.13</v>
      </c>
      <c r="J43" s="31">
        <v>0</v>
      </c>
      <c r="K43" s="6" t="str">
        <f t="shared" si="1"/>
        <v>180 &lt;= 360 DIAS</v>
      </c>
      <c r="L43" s="7" t="str">
        <f>_xlfn.CONCAT(TEXT(MONTH(DATA[[#This Row],[FECHA DE VENCIMIENTO]]),"00"),"-",TEXT(DATA[[#This Row],[FECHA DE VENCIMIENTO]],"MMM"))</f>
        <v>03-Mar</v>
      </c>
    </row>
    <row r="44" spans="1:12" hidden="1" x14ac:dyDescent="0.3">
      <c r="A44" s="3">
        <v>44620</v>
      </c>
      <c r="B44" s="3">
        <v>43910</v>
      </c>
      <c r="C44" s="4">
        <f t="shared" si="0"/>
        <v>1000</v>
      </c>
      <c r="D44" s="5" t="s">
        <v>594</v>
      </c>
      <c r="E44" s="5">
        <v>20533334271</v>
      </c>
      <c r="F44" s="5" t="s">
        <v>32</v>
      </c>
      <c r="G44" s="5" t="s">
        <v>33</v>
      </c>
      <c r="H44" s="5" t="s">
        <v>7</v>
      </c>
      <c r="I44" s="31">
        <v>472</v>
      </c>
      <c r="J44" s="31">
        <v>0</v>
      </c>
      <c r="K44" s="6" t="str">
        <f t="shared" si="1"/>
        <v>180 &lt;= 360 DIAS</v>
      </c>
      <c r="L44" s="7" t="str">
        <f>_xlfn.CONCAT(TEXT(MONTH(DATA[[#This Row],[FECHA DE VENCIMIENTO]]),"00"),"-",TEXT(DATA[[#This Row],[FECHA DE VENCIMIENTO]],"MMM"))</f>
        <v>03-Mar</v>
      </c>
    </row>
    <row r="45" spans="1:12" hidden="1" x14ac:dyDescent="0.3">
      <c r="A45" s="3">
        <v>44620</v>
      </c>
      <c r="B45" s="3">
        <v>43925</v>
      </c>
      <c r="C45" s="4">
        <f t="shared" si="0"/>
        <v>985</v>
      </c>
      <c r="D45" s="5" t="s">
        <v>42</v>
      </c>
      <c r="E45" s="5">
        <v>20533334271</v>
      </c>
      <c r="F45" s="5" t="s">
        <v>32</v>
      </c>
      <c r="G45" s="5" t="s">
        <v>33</v>
      </c>
      <c r="H45" s="5" t="s">
        <v>29</v>
      </c>
      <c r="I45" s="31">
        <v>0</v>
      </c>
      <c r="J45" s="31">
        <v>38.159999999999997</v>
      </c>
      <c r="K45" s="6" t="str">
        <f t="shared" si="1"/>
        <v>180 &lt;= 360 DIAS</v>
      </c>
      <c r="L45" s="7" t="str">
        <f>_xlfn.CONCAT(TEXT(MONTH(DATA[[#This Row],[FECHA DE VENCIMIENTO]]),"00"),"-",TEXT(DATA[[#This Row],[FECHA DE VENCIMIENTO]],"MMM"))</f>
        <v>04-Abr</v>
      </c>
    </row>
    <row r="46" spans="1:12" hidden="1" x14ac:dyDescent="0.3">
      <c r="A46" s="3">
        <v>44620</v>
      </c>
      <c r="B46" s="3">
        <v>43925</v>
      </c>
      <c r="C46" s="4">
        <f t="shared" si="0"/>
        <v>985</v>
      </c>
      <c r="D46" s="5" t="s">
        <v>43</v>
      </c>
      <c r="E46" s="5">
        <v>20533334271</v>
      </c>
      <c r="F46" s="5" t="s">
        <v>32</v>
      </c>
      <c r="G46" s="5" t="s">
        <v>33</v>
      </c>
      <c r="H46" s="5" t="s">
        <v>29</v>
      </c>
      <c r="I46" s="31">
        <v>0</v>
      </c>
      <c r="J46" s="31">
        <v>38.14</v>
      </c>
      <c r="K46" s="6" t="str">
        <f t="shared" si="1"/>
        <v>180 &lt;= 360 DIAS</v>
      </c>
      <c r="L46" s="7" t="str">
        <f>_xlfn.CONCAT(TEXT(MONTH(DATA[[#This Row],[FECHA DE VENCIMIENTO]]),"00"),"-",TEXT(DATA[[#This Row],[FECHA DE VENCIMIENTO]],"MMM"))</f>
        <v>04-Abr</v>
      </c>
    </row>
    <row r="47" spans="1:12" ht="31.2" hidden="1" x14ac:dyDescent="0.3">
      <c r="A47" s="3">
        <v>44620</v>
      </c>
      <c r="B47" s="3">
        <v>43940</v>
      </c>
      <c r="C47" s="4">
        <f t="shared" si="0"/>
        <v>970</v>
      </c>
      <c r="D47" s="5" t="s">
        <v>44</v>
      </c>
      <c r="E47" s="5">
        <v>20600888626</v>
      </c>
      <c r="F47" s="5" t="s">
        <v>45</v>
      </c>
      <c r="G47" s="5" t="s">
        <v>46</v>
      </c>
      <c r="H47" s="5" t="s">
        <v>29</v>
      </c>
      <c r="I47" s="31">
        <v>0</v>
      </c>
      <c r="J47" s="31">
        <v>2336.4</v>
      </c>
      <c r="K47" s="6" t="str">
        <f t="shared" si="1"/>
        <v>180 &lt;= 360 DIAS</v>
      </c>
      <c r="L47" s="7" t="str">
        <f>_xlfn.CONCAT(TEXT(MONTH(DATA[[#This Row],[FECHA DE VENCIMIENTO]]),"00"),"-",TEXT(DATA[[#This Row],[FECHA DE VENCIMIENTO]],"MMM"))</f>
        <v>04-Abr</v>
      </c>
    </row>
    <row r="48" spans="1:12" ht="31.2" hidden="1" x14ac:dyDescent="0.3">
      <c r="A48" s="3">
        <v>44620</v>
      </c>
      <c r="B48" s="3">
        <v>43954</v>
      </c>
      <c r="C48" s="4">
        <f t="shared" si="0"/>
        <v>956</v>
      </c>
      <c r="D48" s="5" t="s">
        <v>47</v>
      </c>
      <c r="E48" s="5">
        <v>20495190014</v>
      </c>
      <c r="F48" s="5" t="s">
        <v>48</v>
      </c>
      <c r="G48" s="5" t="s">
        <v>13</v>
      </c>
      <c r="H48" s="5" t="s">
        <v>29</v>
      </c>
      <c r="I48" s="31">
        <v>0</v>
      </c>
      <c r="J48" s="31">
        <v>1589.46</v>
      </c>
      <c r="K48" s="6" t="str">
        <f t="shared" si="1"/>
        <v>180 &lt;= 360 DIAS</v>
      </c>
      <c r="L48" s="7" t="str">
        <f>_xlfn.CONCAT(TEXT(MONTH(DATA[[#This Row],[FECHA DE VENCIMIENTO]]),"00"),"-",TEXT(DATA[[#This Row],[FECHA DE VENCIMIENTO]],"MMM"))</f>
        <v>05-May</v>
      </c>
    </row>
    <row r="49" spans="1:12" hidden="1" x14ac:dyDescent="0.3">
      <c r="A49" s="3">
        <v>44620</v>
      </c>
      <c r="B49" s="3">
        <v>43972</v>
      </c>
      <c r="C49" s="4">
        <f t="shared" si="0"/>
        <v>938</v>
      </c>
      <c r="D49" s="5" t="s">
        <v>49</v>
      </c>
      <c r="E49" s="5">
        <v>20189421941</v>
      </c>
      <c r="F49" s="5" t="s">
        <v>50</v>
      </c>
      <c r="G49" s="5" t="s">
        <v>16</v>
      </c>
      <c r="H49" s="5" t="s">
        <v>29</v>
      </c>
      <c r="I49" s="31">
        <v>0</v>
      </c>
      <c r="J49" s="31">
        <v>354</v>
      </c>
      <c r="K49" s="6" t="str">
        <f t="shared" si="1"/>
        <v>180 &lt;= 360 DIAS</v>
      </c>
      <c r="L49" s="7" t="str">
        <f>_xlfn.CONCAT(TEXT(MONTH(DATA[[#This Row],[FECHA DE VENCIMIENTO]]),"00"),"-",TEXT(DATA[[#This Row],[FECHA DE VENCIMIENTO]],"MMM"))</f>
        <v>05-May</v>
      </c>
    </row>
    <row r="50" spans="1:12" ht="31.2" hidden="1" x14ac:dyDescent="0.3">
      <c r="A50" s="3">
        <v>44620</v>
      </c>
      <c r="B50" s="3">
        <v>43990</v>
      </c>
      <c r="C50" s="4">
        <f t="shared" si="0"/>
        <v>920</v>
      </c>
      <c r="D50" s="5" t="s">
        <v>51</v>
      </c>
      <c r="E50" s="5">
        <v>20600888626</v>
      </c>
      <c r="F50" s="5" t="s">
        <v>45</v>
      </c>
      <c r="G50" s="5" t="s">
        <v>46</v>
      </c>
      <c r="H50" s="5" t="s">
        <v>29</v>
      </c>
      <c r="I50" s="31">
        <v>0</v>
      </c>
      <c r="J50" s="31">
        <v>2053.1999999999998</v>
      </c>
      <c r="K50" s="6" t="str">
        <f t="shared" si="1"/>
        <v>180 &lt;= 360 DIAS</v>
      </c>
      <c r="L50" s="7" t="str">
        <f>_xlfn.CONCAT(TEXT(MONTH(DATA[[#This Row],[FECHA DE VENCIMIENTO]]),"00"),"-",TEXT(DATA[[#This Row],[FECHA DE VENCIMIENTO]],"MMM"))</f>
        <v>06-Jun</v>
      </c>
    </row>
    <row r="51" spans="1:12" hidden="1" x14ac:dyDescent="0.3">
      <c r="A51" s="3">
        <v>44620</v>
      </c>
      <c r="B51" s="3">
        <v>44000</v>
      </c>
      <c r="C51" s="4">
        <f t="shared" si="0"/>
        <v>910</v>
      </c>
      <c r="D51" s="5" t="s">
        <v>52</v>
      </c>
      <c r="E51" s="5">
        <v>20600728688</v>
      </c>
      <c r="F51" s="5" t="s">
        <v>12</v>
      </c>
      <c r="G51" s="5" t="s">
        <v>13</v>
      </c>
      <c r="H51" s="5" t="s">
        <v>7</v>
      </c>
      <c r="I51" s="31">
        <v>26148.799999999999</v>
      </c>
      <c r="J51" s="31">
        <v>0</v>
      </c>
      <c r="K51" s="6" t="str">
        <f t="shared" si="1"/>
        <v>180 &lt;= 360 DIAS</v>
      </c>
      <c r="L51" s="7" t="str">
        <f>_xlfn.CONCAT(TEXT(MONTH(DATA[[#This Row],[FECHA DE VENCIMIENTO]]),"00"),"-",TEXT(DATA[[#This Row],[FECHA DE VENCIMIENTO]],"MMM"))</f>
        <v>06-Jun</v>
      </c>
    </row>
    <row r="52" spans="1:12" hidden="1" x14ac:dyDescent="0.3">
      <c r="A52" s="3">
        <v>44620</v>
      </c>
      <c r="B52" s="3">
        <v>44027</v>
      </c>
      <c r="C52" s="4">
        <f t="shared" si="0"/>
        <v>883</v>
      </c>
      <c r="D52" s="5" t="s">
        <v>54</v>
      </c>
      <c r="E52" s="5">
        <v>20456221000</v>
      </c>
      <c r="F52" s="5" t="s">
        <v>55</v>
      </c>
      <c r="G52" s="5" t="s">
        <v>33</v>
      </c>
      <c r="H52" s="5" t="s">
        <v>7</v>
      </c>
      <c r="I52" s="31">
        <v>316.5</v>
      </c>
      <c r="J52" s="31">
        <v>0</v>
      </c>
      <c r="K52" s="6" t="str">
        <f t="shared" si="1"/>
        <v>180 &lt;= 360 DIAS</v>
      </c>
      <c r="L52" s="7" t="str">
        <f>_xlfn.CONCAT(TEXT(MONTH(DATA[[#This Row],[FECHA DE VENCIMIENTO]]),"00"),"-",TEXT(DATA[[#This Row],[FECHA DE VENCIMIENTO]],"MMM"))</f>
        <v>07-Jul</v>
      </c>
    </row>
    <row r="53" spans="1:12" hidden="1" x14ac:dyDescent="0.3">
      <c r="A53" s="3">
        <v>44620</v>
      </c>
      <c r="B53" s="3">
        <v>44028</v>
      </c>
      <c r="C53" s="4">
        <f t="shared" si="0"/>
        <v>882</v>
      </c>
      <c r="D53" s="5" t="s">
        <v>56</v>
      </c>
      <c r="E53" s="5">
        <v>20600999312</v>
      </c>
      <c r="F53" s="5" t="s">
        <v>57</v>
      </c>
      <c r="G53" s="5" t="s">
        <v>58</v>
      </c>
      <c r="H53" s="5" t="s">
        <v>7</v>
      </c>
      <c r="I53" s="31">
        <v>1931.39</v>
      </c>
      <c r="J53" s="31">
        <v>0</v>
      </c>
      <c r="K53" s="6" t="str">
        <f t="shared" si="1"/>
        <v>180 &lt;= 360 DIAS</v>
      </c>
      <c r="L53" s="7" t="str">
        <f>_xlfn.CONCAT(TEXT(MONTH(DATA[[#This Row],[FECHA DE VENCIMIENTO]]),"00"),"-",TEXT(DATA[[#This Row],[FECHA DE VENCIMIENTO]],"MMM"))</f>
        <v>07-Jul</v>
      </c>
    </row>
    <row r="54" spans="1:12" hidden="1" x14ac:dyDescent="0.3">
      <c r="A54" s="3">
        <v>44620</v>
      </c>
      <c r="B54" s="3">
        <v>44036</v>
      </c>
      <c r="C54" s="4">
        <f t="shared" si="0"/>
        <v>874</v>
      </c>
      <c r="D54" s="5" t="s">
        <v>60</v>
      </c>
      <c r="E54" s="5">
        <v>20392847155</v>
      </c>
      <c r="F54" s="5" t="s">
        <v>53</v>
      </c>
      <c r="G54" s="5" t="s">
        <v>16</v>
      </c>
      <c r="H54" s="5" t="s">
        <v>29</v>
      </c>
      <c r="I54" s="31">
        <v>0</v>
      </c>
      <c r="J54" s="31">
        <v>115.64</v>
      </c>
      <c r="K54" s="6" t="str">
        <f t="shared" si="1"/>
        <v>180 &lt;= 360 DIAS</v>
      </c>
      <c r="L54" s="7" t="str">
        <f>_xlfn.CONCAT(TEXT(MONTH(DATA[[#This Row],[FECHA DE VENCIMIENTO]]),"00"),"-",TEXT(DATA[[#This Row],[FECHA DE VENCIMIENTO]],"MMM"))</f>
        <v>07-Jul</v>
      </c>
    </row>
    <row r="55" spans="1:12" hidden="1" x14ac:dyDescent="0.3">
      <c r="A55" s="3">
        <v>44620</v>
      </c>
      <c r="B55" s="3">
        <v>44036</v>
      </c>
      <c r="C55" s="4">
        <f t="shared" si="0"/>
        <v>874</v>
      </c>
      <c r="D55" s="5" t="s">
        <v>59</v>
      </c>
      <c r="E55" s="5">
        <v>20392847155</v>
      </c>
      <c r="F55" s="5" t="s">
        <v>53</v>
      </c>
      <c r="G55" s="5" t="s">
        <v>16</v>
      </c>
      <c r="H55" s="5" t="s">
        <v>29</v>
      </c>
      <c r="I55" s="31">
        <v>0</v>
      </c>
      <c r="J55" s="31">
        <v>1214.01</v>
      </c>
      <c r="K55" s="6" t="str">
        <f t="shared" si="1"/>
        <v>180 &lt;= 360 DIAS</v>
      </c>
      <c r="L55" s="7" t="str">
        <f>_xlfn.CONCAT(TEXT(MONTH(DATA[[#This Row],[FECHA DE VENCIMIENTO]]),"00"),"-",TEXT(DATA[[#This Row],[FECHA DE VENCIMIENTO]],"MMM"))</f>
        <v>07-Jul</v>
      </c>
    </row>
    <row r="56" spans="1:12" hidden="1" x14ac:dyDescent="0.3">
      <c r="A56" s="3">
        <v>44620</v>
      </c>
      <c r="B56" s="3">
        <v>44036</v>
      </c>
      <c r="C56" s="4">
        <f t="shared" si="0"/>
        <v>874</v>
      </c>
      <c r="D56" s="5" t="s">
        <v>61</v>
      </c>
      <c r="E56" s="5">
        <v>20546145949</v>
      </c>
      <c r="F56" s="5" t="s">
        <v>62</v>
      </c>
      <c r="G56" s="5" t="s">
        <v>16</v>
      </c>
      <c r="H56" s="5" t="s">
        <v>29</v>
      </c>
      <c r="I56" s="31">
        <v>0</v>
      </c>
      <c r="J56" s="31">
        <v>679.97</v>
      </c>
      <c r="K56" s="6" t="str">
        <f t="shared" si="1"/>
        <v>180 &lt;= 360 DIAS</v>
      </c>
      <c r="L56" s="7" t="str">
        <f>_xlfn.CONCAT(TEXT(MONTH(DATA[[#This Row],[FECHA DE VENCIMIENTO]]),"00"),"-",TEXT(DATA[[#This Row],[FECHA DE VENCIMIENTO]],"MMM"))</f>
        <v>07-Jul</v>
      </c>
    </row>
    <row r="57" spans="1:12" ht="31.2" hidden="1" x14ac:dyDescent="0.3">
      <c r="A57" s="3">
        <v>44620</v>
      </c>
      <c r="B57" s="3">
        <v>44045</v>
      </c>
      <c r="C57" s="4">
        <f t="shared" si="0"/>
        <v>865</v>
      </c>
      <c r="D57" s="5" t="s">
        <v>63</v>
      </c>
      <c r="E57" s="5">
        <v>20600888626</v>
      </c>
      <c r="F57" s="5" t="s">
        <v>45</v>
      </c>
      <c r="G57" s="5" t="s">
        <v>46</v>
      </c>
      <c r="H57" s="5" t="s">
        <v>29</v>
      </c>
      <c r="I57" s="31">
        <v>0</v>
      </c>
      <c r="J57" s="31">
        <v>2832</v>
      </c>
      <c r="K57" s="6" t="str">
        <f t="shared" si="1"/>
        <v>180 &lt;= 360 DIAS</v>
      </c>
      <c r="L57" s="7" t="str">
        <f>_xlfn.CONCAT(TEXT(MONTH(DATA[[#This Row],[FECHA DE VENCIMIENTO]]),"00"),"-",TEXT(DATA[[#This Row],[FECHA DE VENCIMIENTO]],"MMM"))</f>
        <v>08-Ago</v>
      </c>
    </row>
    <row r="58" spans="1:12" ht="31.2" hidden="1" x14ac:dyDescent="0.3">
      <c r="A58" s="3">
        <v>44620</v>
      </c>
      <c r="B58" s="3">
        <v>44048</v>
      </c>
      <c r="C58" s="4">
        <f t="shared" si="0"/>
        <v>862</v>
      </c>
      <c r="D58" s="5" t="s">
        <v>64</v>
      </c>
      <c r="E58" s="5">
        <v>20600888626</v>
      </c>
      <c r="F58" s="5" t="s">
        <v>45</v>
      </c>
      <c r="G58" s="5" t="s">
        <v>46</v>
      </c>
      <c r="H58" s="5" t="s">
        <v>7</v>
      </c>
      <c r="I58" s="31">
        <v>1805.4</v>
      </c>
      <c r="J58" s="31">
        <v>0</v>
      </c>
      <c r="K58" s="6" t="str">
        <f t="shared" si="1"/>
        <v>180 &lt;= 360 DIAS</v>
      </c>
      <c r="L58" s="7" t="str">
        <f>_xlfn.CONCAT(TEXT(MONTH(DATA[[#This Row],[FECHA DE VENCIMIENTO]]),"00"),"-",TEXT(DATA[[#This Row],[FECHA DE VENCIMIENTO]],"MMM"))</f>
        <v>08-Ago</v>
      </c>
    </row>
    <row r="59" spans="1:12" hidden="1" x14ac:dyDescent="0.3">
      <c r="A59" s="3">
        <v>44620</v>
      </c>
      <c r="B59" s="3">
        <v>44050</v>
      </c>
      <c r="C59" s="4">
        <f t="shared" si="0"/>
        <v>860</v>
      </c>
      <c r="D59" s="5" t="s">
        <v>65</v>
      </c>
      <c r="E59" s="5">
        <v>20392847155</v>
      </c>
      <c r="F59" s="5" t="s">
        <v>53</v>
      </c>
      <c r="G59" s="5" t="s">
        <v>16</v>
      </c>
      <c r="H59" s="5" t="s">
        <v>29</v>
      </c>
      <c r="I59" s="31">
        <v>0</v>
      </c>
      <c r="J59" s="31">
        <v>790.13</v>
      </c>
      <c r="K59" s="6" t="str">
        <f t="shared" si="1"/>
        <v>180 &lt;= 360 DIAS</v>
      </c>
      <c r="L59" s="7" t="str">
        <f>_xlfn.CONCAT(TEXT(MONTH(DATA[[#This Row],[FECHA DE VENCIMIENTO]]),"00"),"-",TEXT(DATA[[#This Row],[FECHA DE VENCIMIENTO]],"MMM"))</f>
        <v>08-Ago</v>
      </c>
    </row>
    <row r="60" spans="1:12" ht="31.2" hidden="1" x14ac:dyDescent="0.3">
      <c r="A60" s="3">
        <v>44620</v>
      </c>
      <c r="B60" s="3">
        <v>44056</v>
      </c>
      <c r="C60" s="4">
        <f t="shared" si="0"/>
        <v>854</v>
      </c>
      <c r="D60" s="5" t="s">
        <v>66</v>
      </c>
      <c r="E60" s="5">
        <v>20490494392</v>
      </c>
      <c r="F60" s="5" t="s">
        <v>67</v>
      </c>
      <c r="G60" s="5" t="s">
        <v>33</v>
      </c>
      <c r="H60" s="5" t="s">
        <v>7</v>
      </c>
      <c r="I60" s="31">
        <v>5664</v>
      </c>
      <c r="J60" s="31">
        <v>0</v>
      </c>
      <c r="K60" s="6" t="str">
        <f t="shared" si="1"/>
        <v>180 &lt;= 360 DIAS</v>
      </c>
      <c r="L60" s="7" t="str">
        <f>_xlfn.CONCAT(TEXT(MONTH(DATA[[#This Row],[FECHA DE VENCIMIENTO]]),"00"),"-",TEXT(DATA[[#This Row],[FECHA DE VENCIMIENTO]],"MMM"))</f>
        <v>08-Ago</v>
      </c>
    </row>
    <row r="61" spans="1:12" hidden="1" x14ac:dyDescent="0.3">
      <c r="A61" s="3">
        <v>44620</v>
      </c>
      <c r="B61" s="3">
        <v>44059</v>
      </c>
      <c r="C61" s="4">
        <f t="shared" si="0"/>
        <v>851</v>
      </c>
      <c r="D61" s="5" t="s">
        <v>69</v>
      </c>
      <c r="E61" s="5">
        <v>20392847155</v>
      </c>
      <c r="F61" s="5" t="s">
        <v>53</v>
      </c>
      <c r="G61" s="5" t="s">
        <v>16</v>
      </c>
      <c r="H61" s="5" t="s">
        <v>29</v>
      </c>
      <c r="I61" s="31">
        <v>0</v>
      </c>
      <c r="J61" s="31">
        <v>227.76</v>
      </c>
      <c r="K61" s="6" t="str">
        <f t="shared" si="1"/>
        <v>180 &lt;= 360 DIAS</v>
      </c>
      <c r="L61" s="7" t="str">
        <f>_xlfn.CONCAT(TEXT(MONTH(DATA[[#This Row],[FECHA DE VENCIMIENTO]]),"00"),"-",TEXT(DATA[[#This Row],[FECHA DE VENCIMIENTO]],"MMM"))</f>
        <v>08-Ago</v>
      </c>
    </row>
    <row r="62" spans="1:12" hidden="1" x14ac:dyDescent="0.3">
      <c r="A62" s="3">
        <v>44620</v>
      </c>
      <c r="B62" s="3">
        <v>44059</v>
      </c>
      <c r="C62" s="4">
        <f t="shared" si="0"/>
        <v>851</v>
      </c>
      <c r="D62" s="5" t="s">
        <v>68</v>
      </c>
      <c r="E62" s="5">
        <v>20392846850</v>
      </c>
      <c r="F62" s="5" t="s">
        <v>15</v>
      </c>
      <c r="G62" s="5" t="s">
        <v>16</v>
      </c>
      <c r="H62" s="5" t="s">
        <v>7</v>
      </c>
      <c r="I62" s="31">
        <v>10018.200000000001</v>
      </c>
      <c r="J62" s="31">
        <v>0</v>
      </c>
      <c r="K62" s="6" t="str">
        <f t="shared" si="1"/>
        <v>180 &lt;= 360 DIAS</v>
      </c>
      <c r="L62" s="7" t="str">
        <f>_xlfn.CONCAT(TEXT(MONTH(DATA[[#This Row],[FECHA DE VENCIMIENTO]]),"00"),"-",TEXT(DATA[[#This Row],[FECHA DE VENCIMIENTO]],"MMM"))</f>
        <v>08-Ago</v>
      </c>
    </row>
    <row r="63" spans="1:12" hidden="1" x14ac:dyDescent="0.3">
      <c r="A63" s="3">
        <v>44620</v>
      </c>
      <c r="B63" s="3">
        <v>44060</v>
      </c>
      <c r="C63" s="4">
        <f t="shared" si="0"/>
        <v>850</v>
      </c>
      <c r="D63" s="5" t="s">
        <v>70</v>
      </c>
      <c r="E63" s="5">
        <v>20392847155</v>
      </c>
      <c r="F63" s="5" t="s">
        <v>53</v>
      </c>
      <c r="G63" s="5" t="s">
        <v>16</v>
      </c>
      <c r="H63" s="5" t="s">
        <v>29</v>
      </c>
      <c r="I63" s="31">
        <v>0</v>
      </c>
      <c r="J63" s="31">
        <v>462.56</v>
      </c>
      <c r="K63" s="6" t="str">
        <f t="shared" si="1"/>
        <v>180 &lt;= 360 DIAS</v>
      </c>
      <c r="L63" s="7" t="str">
        <f>_xlfn.CONCAT(TEXT(MONTH(DATA[[#This Row],[FECHA DE VENCIMIENTO]]),"00"),"-",TEXT(DATA[[#This Row],[FECHA DE VENCIMIENTO]],"MMM"))</f>
        <v>08-Ago</v>
      </c>
    </row>
    <row r="64" spans="1:12" ht="31.2" hidden="1" x14ac:dyDescent="0.3">
      <c r="A64" s="3">
        <v>44620</v>
      </c>
      <c r="B64" s="3">
        <v>44072</v>
      </c>
      <c r="C64" s="4">
        <f t="shared" si="0"/>
        <v>838</v>
      </c>
      <c r="D64" s="5" t="s">
        <v>71</v>
      </c>
      <c r="E64" s="5">
        <v>20490494392</v>
      </c>
      <c r="F64" s="5" t="s">
        <v>67</v>
      </c>
      <c r="G64" s="5" t="s">
        <v>33</v>
      </c>
      <c r="H64" s="5" t="s">
        <v>7</v>
      </c>
      <c r="I64" s="31">
        <v>2512.98</v>
      </c>
      <c r="J64" s="31">
        <v>0</v>
      </c>
      <c r="K64" s="6" t="str">
        <f t="shared" si="1"/>
        <v>180 &lt;= 360 DIAS</v>
      </c>
      <c r="L64" s="7" t="str">
        <f>_xlfn.CONCAT(TEXT(MONTH(DATA[[#This Row],[FECHA DE VENCIMIENTO]]),"00"),"-",TEXT(DATA[[#This Row],[FECHA DE VENCIMIENTO]],"MMM"))</f>
        <v>08-Ago</v>
      </c>
    </row>
    <row r="65" spans="1:12" ht="31.2" hidden="1" x14ac:dyDescent="0.3">
      <c r="A65" s="3">
        <v>44620</v>
      </c>
      <c r="B65" s="3">
        <v>44073</v>
      </c>
      <c r="C65" s="4">
        <f t="shared" si="0"/>
        <v>837</v>
      </c>
      <c r="D65" s="5" t="s">
        <v>72</v>
      </c>
      <c r="E65" s="5">
        <v>20495190014</v>
      </c>
      <c r="F65" s="5" t="s">
        <v>48</v>
      </c>
      <c r="G65" s="5" t="s">
        <v>13</v>
      </c>
      <c r="H65" s="5" t="s">
        <v>29</v>
      </c>
      <c r="I65" s="31">
        <v>0</v>
      </c>
      <c r="J65" s="31">
        <v>1849.06</v>
      </c>
      <c r="K65" s="6" t="str">
        <f t="shared" si="1"/>
        <v>180 &lt;= 360 DIAS</v>
      </c>
      <c r="L65" s="7" t="str">
        <f>_xlfn.CONCAT(TEXT(MONTH(DATA[[#This Row],[FECHA DE VENCIMIENTO]]),"00"),"-",TEXT(DATA[[#This Row],[FECHA DE VENCIMIENTO]],"MMM"))</f>
        <v>08-Ago</v>
      </c>
    </row>
    <row r="66" spans="1:12" ht="31.2" hidden="1" x14ac:dyDescent="0.3">
      <c r="A66" s="3">
        <v>44620</v>
      </c>
      <c r="B66" s="3">
        <v>44074</v>
      </c>
      <c r="C66" s="4">
        <f t="shared" si="0"/>
        <v>836</v>
      </c>
      <c r="D66" s="5" t="s">
        <v>73</v>
      </c>
      <c r="E66" s="5">
        <v>20495190014</v>
      </c>
      <c r="F66" s="5" t="s">
        <v>48</v>
      </c>
      <c r="G66" s="5" t="s">
        <v>13</v>
      </c>
      <c r="H66" s="5" t="s">
        <v>29</v>
      </c>
      <c r="I66" s="31">
        <v>0</v>
      </c>
      <c r="J66" s="31">
        <v>126.85</v>
      </c>
      <c r="K66" s="6" t="str">
        <f t="shared" si="1"/>
        <v>180 &lt;= 360 DIAS</v>
      </c>
      <c r="L66" s="7" t="str">
        <f>_xlfn.CONCAT(TEXT(MONTH(DATA[[#This Row],[FECHA DE VENCIMIENTO]]),"00"),"-",TEXT(DATA[[#This Row],[FECHA DE VENCIMIENTO]],"MMM"))</f>
        <v>08-Ago</v>
      </c>
    </row>
    <row r="67" spans="1:12" hidden="1" x14ac:dyDescent="0.3">
      <c r="A67" s="3">
        <v>44620</v>
      </c>
      <c r="B67" s="3">
        <v>44077</v>
      </c>
      <c r="C67" s="4">
        <f t="shared" si="0"/>
        <v>833</v>
      </c>
      <c r="D67" s="5" t="s">
        <v>74</v>
      </c>
      <c r="E67" s="5">
        <v>20600999312</v>
      </c>
      <c r="F67" s="5" t="s">
        <v>57</v>
      </c>
      <c r="G67" s="5" t="s">
        <v>58</v>
      </c>
      <c r="H67" s="5" t="s">
        <v>7</v>
      </c>
      <c r="I67" s="31">
        <v>4027.28</v>
      </c>
      <c r="J67" s="31">
        <v>0</v>
      </c>
      <c r="K67" s="6" t="str">
        <f t="shared" si="1"/>
        <v>180 &lt;= 360 DIAS</v>
      </c>
      <c r="L67" s="7" t="str">
        <f>_xlfn.CONCAT(TEXT(MONTH(DATA[[#This Row],[FECHA DE VENCIMIENTO]]),"00"),"-",TEXT(DATA[[#This Row],[FECHA DE VENCIMIENTO]],"MMM"))</f>
        <v>09-Set</v>
      </c>
    </row>
    <row r="68" spans="1:12" hidden="1" x14ac:dyDescent="0.3">
      <c r="A68" s="3">
        <v>44620</v>
      </c>
      <c r="B68" s="3">
        <v>44080</v>
      </c>
      <c r="C68" s="4">
        <f t="shared" ref="C68:C131" si="2">$E$2-B68</f>
        <v>830</v>
      </c>
      <c r="D68" s="5" t="s">
        <v>75</v>
      </c>
      <c r="E68" s="5">
        <v>20392847155</v>
      </c>
      <c r="F68" s="5" t="s">
        <v>53</v>
      </c>
      <c r="G68" s="5" t="s">
        <v>16</v>
      </c>
      <c r="H68" s="5" t="s">
        <v>7</v>
      </c>
      <c r="I68" s="31">
        <v>90.5</v>
      </c>
      <c r="J68" s="31">
        <v>0</v>
      </c>
      <c r="K68" s="6" t="str">
        <f t="shared" ref="K68:K131" si="3">IF(C68&gt;180,"180 &lt;= 360 DIAS",IF(C68&gt;90,"90 &lt;= 180 DIAS",IF(C68&gt;60,"60 &lt;= 90 DIAS",IF(C68&gt;30,"30 &lt;= 60 DIAS",IF(C68&gt;15,"15 &lt;= 30 DIAS","1-POR VENCER")))))</f>
        <v>180 &lt;= 360 DIAS</v>
      </c>
      <c r="L68" s="7" t="str">
        <f>_xlfn.CONCAT(TEXT(MONTH(DATA[[#This Row],[FECHA DE VENCIMIENTO]]),"00"),"-",TEXT(DATA[[#This Row],[FECHA DE VENCIMIENTO]],"MMM"))</f>
        <v>09-Set</v>
      </c>
    </row>
    <row r="69" spans="1:12" ht="31.2" hidden="1" x14ac:dyDescent="0.3">
      <c r="A69" s="3">
        <v>44620</v>
      </c>
      <c r="B69" s="3">
        <v>44085</v>
      </c>
      <c r="C69" s="4">
        <f t="shared" si="2"/>
        <v>825</v>
      </c>
      <c r="D69" s="5" t="s">
        <v>76</v>
      </c>
      <c r="E69" s="5">
        <v>10424237448</v>
      </c>
      <c r="F69" s="5" t="s">
        <v>77</v>
      </c>
      <c r="G69" s="5" t="s">
        <v>46</v>
      </c>
      <c r="H69" s="5" t="s">
        <v>29</v>
      </c>
      <c r="I69" s="31">
        <v>0</v>
      </c>
      <c r="J69" s="31">
        <v>588.73</v>
      </c>
      <c r="K69" s="6" t="str">
        <f t="shared" si="3"/>
        <v>180 &lt;= 360 DIAS</v>
      </c>
      <c r="L69" s="7" t="str">
        <f>_xlfn.CONCAT(TEXT(MONTH(DATA[[#This Row],[FECHA DE VENCIMIENTO]]),"00"),"-",TEXT(DATA[[#This Row],[FECHA DE VENCIMIENTO]],"MMM"))</f>
        <v>09-Set</v>
      </c>
    </row>
    <row r="70" spans="1:12" hidden="1" x14ac:dyDescent="0.3">
      <c r="A70" s="3">
        <v>44620</v>
      </c>
      <c r="B70" s="3">
        <v>44086</v>
      </c>
      <c r="C70" s="4">
        <f t="shared" si="2"/>
        <v>824</v>
      </c>
      <c r="D70" s="5" t="s">
        <v>78</v>
      </c>
      <c r="E70" s="5">
        <v>20392847155</v>
      </c>
      <c r="F70" s="5" t="s">
        <v>53</v>
      </c>
      <c r="G70" s="5" t="s">
        <v>16</v>
      </c>
      <c r="H70" s="5" t="s">
        <v>29</v>
      </c>
      <c r="I70" s="31">
        <v>0</v>
      </c>
      <c r="J70" s="31">
        <v>970.43</v>
      </c>
      <c r="K70" s="6" t="str">
        <f t="shared" si="3"/>
        <v>180 &lt;= 360 DIAS</v>
      </c>
      <c r="L70" s="7" t="str">
        <f>_xlfn.CONCAT(TEXT(MONTH(DATA[[#This Row],[FECHA DE VENCIMIENTO]]),"00"),"-",TEXT(DATA[[#This Row],[FECHA DE VENCIMIENTO]],"MMM"))</f>
        <v>09-Set</v>
      </c>
    </row>
    <row r="71" spans="1:12" hidden="1" x14ac:dyDescent="0.3">
      <c r="A71" s="3">
        <v>44620</v>
      </c>
      <c r="B71" s="3">
        <v>44090</v>
      </c>
      <c r="C71" s="4">
        <f t="shared" si="2"/>
        <v>820</v>
      </c>
      <c r="D71" s="5" t="s">
        <v>81</v>
      </c>
      <c r="E71" s="5">
        <v>20602691129</v>
      </c>
      <c r="F71" s="5" t="s">
        <v>80</v>
      </c>
      <c r="G71" s="5" t="s">
        <v>13</v>
      </c>
      <c r="H71" s="5" t="s">
        <v>7</v>
      </c>
      <c r="I71" s="31">
        <v>2478</v>
      </c>
      <c r="J71" s="31">
        <v>0</v>
      </c>
      <c r="K71" s="6" t="str">
        <f t="shared" si="3"/>
        <v>180 &lt;= 360 DIAS</v>
      </c>
      <c r="L71" s="7" t="str">
        <f>_xlfn.CONCAT(TEXT(MONTH(DATA[[#This Row],[FECHA DE VENCIMIENTO]]),"00"),"-",TEXT(DATA[[#This Row],[FECHA DE VENCIMIENTO]],"MMM"))</f>
        <v>09-Set</v>
      </c>
    </row>
    <row r="72" spans="1:12" hidden="1" x14ac:dyDescent="0.3">
      <c r="A72" s="3">
        <v>44620</v>
      </c>
      <c r="B72" s="3">
        <v>44090</v>
      </c>
      <c r="C72" s="4">
        <f t="shared" si="2"/>
        <v>820</v>
      </c>
      <c r="D72" s="5" t="s">
        <v>79</v>
      </c>
      <c r="E72" s="5">
        <v>20602691129</v>
      </c>
      <c r="F72" s="5" t="s">
        <v>80</v>
      </c>
      <c r="G72" s="5" t="s">
        <v>13</v>
      </c>
      <c r="H72" s="5" t="s">
        <v>29</v>
      </c>
      <c r="I72" s="31">
        <v>0</v>
      </c>
      <c r="J72" s="31">
        <v>129.80000000000001</v>
      </c>
      <c r="K72" s="6" t="str">
        <f t="shared" si="3"/>
        <v>180 &lt;= 360 DIAS</v>
      </c>
      <c r="L72" s="7" t="str">
        <f>_xlfn.CONCAT(TEXT(MONTH(DATA[[#This Row],[FECHA DE VENCIMIENTO]]),"00"),"-",TEXT(DATA[[#This Row],[FECHA DE VENCIMIENTO]],"MMM"))</f>
        <v>09-Set</v>
      </c>
    </row>
    <row r="73" spans="1:12" ht="31.2" hidden="1" x14ac:dyDescent="0.3">
      <c r="A73" s="3">
        <v>44620</v>
      </c>
      <c r="B73" s="3">
        <v>44093</v>
      </c>
      <c r="C73" s="4">
        <f t="shared" si="2"/>
        <v>817</v>
      </c>
      <c r="D73" s="5" t="s">
        <v>82</v>
      </c>
      <c r="E73" s="5">
        <v>20495190014</v>
      </c>
      <c r="F73" s="5" t="s">
        <v>48</v>
      </c>
      <c r="G73" s="5" t="s">
        <v>13</v>
      </c>
      <c r="H73" s="5" t="s">
        <v>29</v>
      </c>
      <c r="I73" s="31">
        <v>0</v>
      </c>
      <c r="J73" s="31">
        <v>637.20000000000005</v>
      </c>
      <c r="K73" s="6" t="str">
        <f t="shared" si="3"/>
        <v>180 &lt;= 360 DIAS</v>
      </c>
      <c r="L73" s="7" t="str">
        <f>_xlfn.CONCAT(TEXT(MONTH(DATA[[#This Row],[FECHA DE VENCIMIENTO]]),"00"),"-",TEXT(DATA[[#This Row],[FECHA DE VENCIMIENTO]],"MMM"))</f>
        <v>09-Set</v>
      </c>
    </row>
    <row r="74" spans="1:12" ht="31.2" hidden="1" x14ac:dyDescent="0.3">
      <c r="A74" s="3">
        <v>44620</v>
      </c>
      <c r="B74" s="3">
        <v>44097</v>
      </c>
      <c r="C74" s="4">
        <f t="shared" si="2"/>
        <v>813</v>
      </c>
      <c r="D74" s="5" t="s">
        <v>83</v>
      </c>
      <c r="E74" s="5">
        <v>10424237448</v>
      </c>
      <c r="F74" s="5" t="s">
        <v>77</v>
      </c>
      <c r="G74" s="5" t="s">
        <v>46</v>
      </c>
      <c r="H74" s="5" t="s">
        <v>29</v>
      </c>
      <c r="I74" s="31">
        <v>0</v>
      </c>
      <c r="J74" s="31">
        <v>396.48</v>
      </c>
      <c r="K74" s="6" t="str">
        <f t="shared" si="3"/>
        <v>180 &lt;= 360 DIAS</v>
      </c>
      <c r="L74" s="7" t="str">
        <f>_xlfn.CONCAT(TEXT(MONTH(DATA[[#This Row],[FECHA DE VENCIMIENTO]]),"00"),"-",TEXT(DATA[[#This Row],[FECHA DE VENCIMIENTO]],"MMM"))</f>
        <v>09-Set</v>
      </c>
    </row>
    <row r="75" spans="1:12" hidden="1" x14ac:dyDescent="0.3">
      <c r="A75" s="3">
        <v>44620</v>
      </c>
      <c r="B75" s="3">
        <v>44107</v>
      </c>
      <c r="C75" s="4">
        <f t="shared" si="2"/>
        <v>803</v>
      </c>
      <c r="D75" s="5" t="s">
        <v>84</v>
      </c>
      <c r="E75" s="5">
        <v>20602691129</v>
      </c>
      <c r="F75" s="5" t="s">
        <v>80</v>
      </c>
      <c r="G75" s="5" t="s">
        <v>13</v>
      </c>
      <c r="H75" s="5" t="s">
        <v>29</v>
      </c>
      <c r="I75" s="31">
        <v>0</v>
      </c>
      <c r="J75" s="31">
        <v>97.35</v>
      </c>
      <c r="K75" s="6" t="str">
        <f t="shared" si="3"/>
        <v>180 &lt;= 360 DIAS</v>
      </c>
      <c r="L75" s="7" t="str">
        <f>_xlfn.CONCAT(TEXT(MONTH(DATA[[#This Row],[FECHA DE VENCIMIENTO]]),"00"),"-",TEXT(DATA[[#This Row],[FECHA DE VENCIMIENTO]],"MMM"))</f>
        <v>10-Oct</v>
      </c>
    </row>
    <row r="76" spans="1:12" hidden="1" x14ac:dyDescent="0.3">
      <c r="A76" s="3">
        <v>44620</v>
      </c>
      <c r="B76" s="3">
        <v>44108</v>
      </c>
      <c r="C76" s="4">
        <f t="shared" si="2"/>
        <v>802</v>
      </c>
      <c r="D76" s="5" t="s">
        <v>85</v>
      </c>
      <c r="E76" s="5">
        <v>20392847155</v>
      </c>
      <c r="F76" s="5" t="s">
        <v>53</v>
      </c>
      <c r="G76" s="5" t="s">
        <v>16</v>
      </c>
      <c r="H76" s="5" t="s">
        <v>29</v>
      </c>
      <c r="I76" s="31">
        <v>0</v>
      </c>
      <c r="J76" s="31">
        <v>231.28</v>
      </c>
      <c r="K76" s="6" t="str">
        <f t="shared" si="3"/>
        <v>180 &lt;= 360 DIAS</v>
      </c>
      <c r="L76" s="7" t="str">
        <f>_xlfn.CONCAT(TEXT(MONTH(DATA[[#This Row],[FECHA DE VENCIMIENTO]]),"00"),"-",TEXT(DATA[[#This Row],[FECHA DE VENCIMIENTO]],"MMM"))</f>
        <v>10-Oct</v>
      </c>
    </row>
    <row r="77" spans="1:12" hidden="1" x14ac:dyDescent="0.3">
      <c r="A77" s="3">
        <v>44620</v>
      </c>
      <c r="B77" s="3">
        <v>44115</v>
      </c>
      <c r="C77" s="4">
        <f t="shared" si="2"/>
        <v>795</v>
      </c>
      <c r="D77" s="5" t="s">
        <v>87</v>
      </c>
      <c r="E77" s="5">
        <v>20392847155</v>
      </c>
      <c r="F77" s="5" t="s">
        <v>53</v>
      </c>
      <c r="G77" s="5" t="s">
        <v>16</v>
      </c>
      <c r="H77" s="5" t="s">
        <v>29</v>
      </c>
      <c r="I77" s="31">
        <v>0</v>
      </c>
      <c r="J77" s="31">
        <v>346.92</v>
      </c>
      <c r="K77" s="6" t="str">
        <f t="shared" si="3"/>
        <v>180 &lt;= 360 DIAS</v>
      </c>
      <c r="L77" s="7" t="str">
        <f>_xlfn.CONCAT(TEXT(MONTH(DATA[[#This Row],[FECHA DE VENCIMIENTO]]),"00"),"-",TEXT(DATA[[#This Row],[FECHA DE VENCIMIENTO]],"MMM"))</f>
        <v>10-Oct</v>
      </c>
    </row>
    <row r="78" spans="1:12" hidden="1" x14ac:dyDescent="0.3">
      <c r="A78" s="3">
        <v>44620</v>
      </c>
      <c r="B78" s="3">
        <v>44115</v>
      </c>
      <c r="C78" s="4">
        <f t="shared" si="2"/>
        <v>795</v>
      </c>
      <c r="D78" s="5" t="s">
        <v>86</v>
      </c>
      <c r="E78" s="5">
        <v>20392847155</v>
      </c>
      <c r="F78" s="5" t="s">
        <v>53</v>
      </c>
      <c r="G78" s="5" t="s">
        <v>16</v>
      </c>
      <c r="H78" s="5" t="s">
        <v>29</v>
      </c>
      <c r="I78" s="31">
        <v>0</v>
      </c>
      <c r="J78" s="31">
        <v>566.99</v>
      </c>
      <c r="K78" s="6" t="str">
        <f t="shared" si="3"/>
        <v>180 &lt;= 360 DIAS</v>
      </c>
      <c r="L78" s="7" t="str">
        <f>_xlfn.CONCAT(TEXT(MONTH(DATA[[#This Row],[FECHA DE VENCIMIENTO]]),"00"),"-",TEXT(DATA[[#This Row],[FECHA DE VENCIMIENTO]],"MMM"))</f>
        <v>10-Oct</v>
      </c>
    </row>
    <row r="79" spans="1:12" hidden="1" x14ac:dyDescent="0.3">
      <c r="A79" s="3">
        <v>44620</v>
      </c>
      <c r="B79" s="3">
        <v>44127</v>
      </c>
      <c r="C79" s="4">
        <f t="shared" si="2"/>
        <v>783</v>
      </c>
      <c r="D79" s="5" t="s">
        <v>88</v>
      </c>
      <c r="E79" s="5">
        <v>20392847155</v>
      </c>
      <c r="F79" s="5" t="s">
        <v>53</v>
      </c>
      <c r="G79" s="5" t="s">
        <v>16</v>
      </c>
      <c r="H79" s="5" t="s">
        <v>29</v>
      </c>
      <c r="I79" s="31">
        <v>0</v>
      </c>
      <c r="J79" s="31">
        <v>346.92</v>
      </c>
      <c r="K79" s="6" t="str">
        <f t="shared" si="3"/>
        <v>180 &lt;= 360 DIAS</v>
      </c>
      <c r="L79" s="7" t="str">
        <f>_xlfn.CONCAT(TEXT(MONTH(DATA[[#This Row],[FECHA DE VENCIMIENTO]]),"00"),"-",TEXT(DATA[[#This Row],[FECHA DE VENCIMIENTO]],"MMM"))</f>
        <v>10-Oct</v>
      </c>
    </row>
    <row r="80" spans="1:12" ht="31.2" hidden="1" x14ac:dyDescent="0.3">
      <c r="A80" s="3">
        <v>44620</v>
      </c>
      <c r="B80" s="3">
        <v>44128</v>
      </c>
      <c r="C80" s="4">
        <f t="shared" si="2"/>
        <v>782</v>
      </c>
      <c r="D80" s="5" t="s">
        <v>89</v>
      </c>
      <c r="E80" s="5">
        <v>20600888626</v>
      </c>
      <c r="F80" s="5" t="s">
        <v>45</v>
      </c>
      <c r="G80" s="5" t="s">
        <v>46</v>
      </c>
      <c r="H80" s="5" t="s">
        <v>29</v>
      </c>
      <c r="I80" s="31">
        <v>0</v>
      </c>
      <c r="J80" s="31">
        <v>2301</v>
      </c>
      <c r="K80" s="6" t="str">
        <f t="shared" si="3"/>
        <v>180 &lt;= 360 DIAS</v>
      </c>
      <c r="L80" s="7" t="str">
        <f>_xlfn.CONCAT(TEXT(MONTH(DATA[[#This Row],[FECHA DE VENCIMIENTO]]),"00"),"-",TEXT(DATA[[#This Row],[FECHA DE VENCIMIENTO]],"MMM"))</f>
        <v>10-Oct</v>
      </c>
    </row>
    <row r="81" spans="1:12" hidden="1" x14ac:dyDescent="0.3">
      <c r="A81" s="3">
        <v>44620</v>
      </c>
      <c r="B81" s="3">
        <v>44132</v>
      </c>
      <c r="C81" s="4">
        <f t="shared" si="2"/>
        <v>778</v>
      </c>
      <c r="D81" s="5" t="s">
        <v>90</v>
      </c>
      <c r="E81" s="5">
        <v>10425517509</v>
      </c>
      <c r="F81" s="5" t="s">
        <v>91</v>
      </c>
      <c r="G81" s="5" t="s">
        <v>58</v>
      </c>
      <c r="H81" s="5" t="s">
        <v>7</v>
      </c>
      <c r="I81" s="31">
        <v>866.12</v>
      </c>
      <c r="J81" s="31">
        <v>0</v>
      </c>
      <c r="K81" s="6" t="str">
        <f t="shared" si="3"/>
        <v>180 &lt;= 360 DIAS</v>
      </c>
      <c r="L81" s="7" t="str">
        <f>_xlfn.CONCAT(TEXT(MONTH(DATA[[#This Row],[FECHA DE VENCIMIENTO]]),"00"),"-",TEXT(DATA[[#This Row],[FECHA DE VENCIMIENTO]],"MMM"))</f>
        <v>10-Oct</v>
      </c>
    </row>
    <row r="82" spans="1:12" hidden="1" x14ac:dyDescent="0.3">
      <c r="A82" s="3">
        <v>44620</v>
      </c>
      <c r="B82" s="3">
        <v>44134</v>
      </c>
      <c r="C82" s="4">
        <f t="shared" si="2"/>
        <v>776</v>
      </c>
      <c r="D82" s="5" t="s">
        <v>96</v>
      </c>
      <c r="E82" s="5">
        <v>20563755629</v>
      </c>
      <c r="F82" s="5" t="s">
        <v>25</v>
      </c>
      <c r="G82" s="5" t="s">
        <v>26</v>
      </c>
      <c r="H82" s="5" t="s">
        <v>7</v>
      </c>
      <c r="I82" s="31">
        <v>141.6</v>
      </c>
      <c r="J82" s="31">
        <v>0</v>
      </c>
      <c r="K82" s="6" t="str">
        <f t="shared" si="3"/>
        <v>180 &lt;= 360 DIAS</v>
      </c>
      <c r="L82" s="7" t="str">
        <f>_xlfn.CONCAT(TEXT(MONTH(DATA[[#This Row],[FECHA DE VENCIMIENTO]]),"00"),"-",TEXT(DATA[[#This Row],[FECHA DE VENCIMIENTO]],"MMM"))</f>
        <v>10-Oct</v>
      </c>
    </row>
    <row r="83" spans="1:12" hidden="1" x14ac:dyDescent="0.3">
      <c r="A83" s="3">
        <v>44620</v>
      </c>
      <c r="B83" s="3">
        <v>44134</v>
      </c>
      <c r="C83" s="4">
        <f t="shared" si="2"/>
        <v>776</v>
      </c>
      <c r="D83" s="5" t="s">
        <v>95</v>
      </c>
      <c r="E83" s="5">
        <v>20563755629</v>
      </c>
      <c r="F83" s="5" t="s">
        <v>25</v>
      </c>
      <c r="G83" s="5" t="s">
        <v>26</v>
      </c>
      <c r="H83" s="5" t="s">
        <v>7</v>
      </c>
      <c r="I83" s="31">
        <v>141.6</v>
      </c>
      <c r="J83" s="31">
        <v>0</v>
      </c>
      <c r="K83" s="6" t="str">
        <f t="shared" si="3"/>
        <v>180 &lt;= 360 DIAS</v>
      </c>
      <c r="L83" s="7" t="str">
        <f>_xlfn.CONCAT(TEXT(MONTH(DATA[[#This Row],[FECHA DE VENCIMIENTO]]),"00"),"-",TEXT(DATA[[#This Row],[FECHA DE VENCIMIENTO]],"MMM"))</f>
        <v>10-Oct</v>
      </c>
    </row>
    <row r="84" spans="1:12" hidden="1" x14ac:dyDescent="0.3">
      <c r="A84" s="3">
        <v>44620</v>
      </c>
      <c r="B84" s="3">
        <v>44134</v>
      </c>
      <c r="C84" s="4">
        <f t="shared" si="2"/>
        <v>776</v>
      </c>
      <c r="D84" s="5" t="s">
        <v>94</v>
      </c>
      <c r="E84" s="5">
        <v>20563755629</v>
      </c>
      <c r="F84" s="5" t="s">
        <v>25</v>
      </c>
      <c r="G84" s="5" t="s">
        <v>26</v>
      </c>
      <c r="H84" s="5" t="s">
        <v>7</v>
      </c>
      <c r="I84" s="31">
        <v>141.6</v>
      </c>
      <c r="J84" s="31">
        <v>0</v>
      </c>
      <c r="K84" s="6" t="str">
        <f t="shared" si="3"/>
        <v>180 &lt;= 360 DIAS</v>
      </c>
      <c r="L84" s="7" t="str">
        <f>_xlfn.CONCAT(TEXT(MONTH(DATA[[#This Row],[FECHA DE VENCIMIENTO]]),"00"),"-",TEXT(DATA[[#This Row],[FECHA DE VENCIMIENTO]],"MMM"))</f>
        <v>10-Oct</v>
      </c>
    </row>
    <row r="85" spans="1:12" hidden="1" x14ac:dyDescent="0.3">
      <c r="A85" s="3">
        <v>44620</v>
      </c>
      <c r="B85" s="3">
        <v>44134</v>
      </c>
      <c r="C85" s="4">
        <f t="shared" si="2"/>
        <v>776</v>
      </c>
      <c r="D85" s="5" t="s">
        <v>97</v>
      </c>
      <c r="E85" s="5">
        <v>20600240502</v>
      </c>
      <c r="F85" s="5" t="s">
        <v>98</v>
      </c>
      <c r="G85" s="5" t="s">
        <v>13</v>
      </c>
      <c r="H85" s="5" t="s">
        <v>7</v>
      </c>
      <c r="I85" s="31">
        <v>280.3</v>
      </c>
      <c r="J85" s="31">
        <v>0</v>
      </c>
      <c r="K85" s="6" t="str">
        <f t="shared" si="3"/>
        <v>180 &lt;= 360 DIAS</v>
      </c>
      <c r="L85" s="7" t="str">
        <f>_xlfn.CONCAT(TEXT(MONTH(DATA[[#This Row],[FECHA DE VENCIMIENTO]]),"00"),"-",TEXT(DATA[[#This Row],[FECHA DE VENCIMIENTO]],"MMM"))</f>
        <v>10-Oct</v>
      </c>
    </row>
    <row r="86" spans="1:12" ht="31.2" hidden="1" x14ac:dyDescent="0.3">
      <c r="A86" s="3">
        <v>44620</v>
      </c>
      <c r="B86" s="3">
        <v>44134</v>
      </c>
      <c r="C86" s="4">
        <f t="shared" si="2"/>
        <v>776</v>
      </c>
      <c r="D86" s="5" t="s">
        <v>93</v>
      </c>
      <c r="E86" s="5">
        <v>20495190014</v>
      </c>
      <c r="F86" s="5" t="s">
        <v>48</v>
      </c>
      <c r="G86" s="5" t="s">
        <v>13</v>
      </c>
      <c r="H86" s="5" t="s">
        <v>29</v>
      </c>
      <c r="I86" s="31">
        <v>0</v>
      </c>
      <c r="J86" s="31">
        <v>38.57</v>
      </c>
      <c r="K86" s="6" t="str">
        <f t="shared" si="3"/>
        <v>180 &lt;= 360 DIAS</v>
      </c>
      <c r="L86" s="7" t="str">
        <f>_xlfn.CONCAT(TEXT(MONTH(DATA[[#This Row],[FECHA DE VENCIMIENTO]]),"00"),"-",TEXT(DATA[[#This Row],[FECHA DE VENCIMIENTO]],"MMM"))</f>
        <v>10-Oct</v>
      </c>
    </row>
    <row r="87" spans="1:12" ht="31.2" hidden="1" x14ac:dyDescent="0.3">
      <c r="A87" s="3">
        <v>44620</v>
      </c>
      <c r="B87" s="3">
        <v>44134</v>
      </c>
      <c r="C87" s="4">
        <f t="shared" si="2"/>
        <v>776</v>
      </c>
      <c r="D87" s="5" t="s">
        <v>92</v>
      </c>
      <c r="E87" s="5">
        <v>20495009638</v>
      </c>
      <c r="F87" s="5" t="s">
        <v>18</v>
      </c>
      <c r="G87" s="5" t="s">
        <v>13</v>
      </c>
      <c r="H87" s="5" t="s">
        <v>7</v>
      </c>
      <c r="I87" s="31">
        <v>6258.72</v>
      </c>
      <c r="J87" s="31">
        <v>0</v>
      </c>
      <c r="K87" s="6" t="str">
        <f t="shared" si="3"/>
        <v>180 &lt;= 360 DIAS</v>
      </c>
      <c r="L87" s="7" t="str">
        <f>_xlfn.CONCAT(TEXT(MONTH(DATA[[#This Row],[FECHA DE VENCIMIENTO]]),"00"),"-",TEXT(DATA[[#This Row],[FECHA DE VENCIMIENTO]],"MMM"))</f>
        <v>10-Oct</v>
      </c>
    </row>
    <row r="88" spans="1:12" hidden="1" x14ac:dyDescent="0.3">
      <c r="A88" s="3">
        <v>44620</v>
      </c>
      <c r="B88" s="3">
        <v>44139</v>
      </c>
      <c r="C88" s="4">
        <f t="shared" si="2"/>
        <v>771</v>
      </c>
      <c r="D88" s="5" t="s">
        <v>99</v>
      </c>
      <c r="E88" s="5">
        <v>20392847155</v>
      </c>
      <c r="F88" s="5" t="s">
        <v>53</v>
      </c>
      <c r="G88" s="5" t="s">
        <v>16</v>
      </c>
      <c r="H88" s="5" t="s">
        <v>29</v>
      </c>
      <c r="I88" s="31">
        <v>0</v>
      </c>
      <c r="J88" s="31">
        <v>346.92</v>
      </c>
      <c r="K88" s="6" t="str">
        <f t="shared" si="3"/>
        <v>180 &lt;= 360 DIAS</v>
      </c>
      <c r="L88" s="7" t="str">
        <f>_xlfn.CONCAT(TEXT(MONTH(DATA[[#This Row],[FECHA DE VENCIMIENTO]]),"00"),"-",TEXT(DATA[[#This Row],[FECHA DE VENCIMIENTO]],"MMM"))</f>
        <v>11-Nov</v>
      </c>
    </row>
    <row r="89" spans="1:12" ht="31.2" hidden="1" x14ac:dyDescent="0.3">
      <c r="A89" s="3">
        <v>44620</v>
      </c>
      <c r="B89" s="3">
        <v>44145</v>
      </c>
      <c r="C89" s="4">
        <f t="shared" si="2"/>
        <v>765</v>
      </c>
      <c r="D89" s="5" t="s">
        <v>100</v>
      </c>
      <c r="E89" s="5">
        <v>20495190014</v>
      </c>
      <c r="F89" s="5" t="s">
        <v>48</v>
      </c>
      <c r="G89" s="5" t="s">
        <v>13</v>
      </c>
      <c r="H89" s="5" t="s">
        <v>29</v>
      </c>
      <c r="I89" s="31">
        <v>0</v>
      </c>
      <c r="J89" s="31">
        <v>42.86</v>
      </c>
      <c r="K89" s="6" t="str">
        <f t="shared" si="3"/>
        <v>180 &lt;= 360 DIAS</v>
      </c>
      <c r="L89" s="7" t="str">
        <f>_xlfn.CONCAT(TEXT(MONTH(DATA[[#This Row],[FECHA DE VENCIMIENTO]]),"00"),"-",TEXT(DATA[[#This Row],[FECHA DE VENCIMIENTO]],"MMM"))</f>
        <v>11-Nov</v>
      </c>
    </row>
    <row r="90" spans="1:12" ht="31.2" hidden="1" x14ac:dyDescent="0.3">
      <c r="A90" s="3">
        <v>44620</v>
      </c>
      <c r="B90" s="3">
        <v>44149</v>
      </c>
      <c r="C90" s="4">
        <f t="shared" si="2"/>
        <v>761</v>
      </c>
      <c r="D90" s="5" t="s">
        <v>102</v>
      </c>
      <c r="E90" s="5">
        <v>20495190014</v>
      </c>
      <c r="F90" s="5" t="s">
        <v>48</v>
      </c>
      <c r="G90" s="5" t="s">
        <v>13</v>
      </c>
      <c r="H90" s="5" t="s">
        <v>29</v>
      </c>
      <c r="I90" s="31">
        <v>0</v>
      </c>
      <c r="J90" s="31">
        <v>38.14</v>
      </c>
      <c r="K90" s="6" t="str">
        <f t="shared" si="3"/>
        <v>180 &lt;= 360 DIAS</v>
      </c>
      <c r="L90" s="7" t="str">
        <f>_xlfn.CONCAT(TEXT(MONTH(DATA[[#This Row],[FECHA DE VENCIMIENTO]]),"00"),"-",TEXT(DATA[[#This Row],[FECHA DE VENCIMIENTO]],"MMM"))</f>
        <v>11-Nov</v>
      </c>
    </row>
    <row r="91" spans="1:12" ht="31.2" hidden="1" x14ac:dyDescent="0.3">
      <c r="A91" s="3">
        <v>44620</v>
      </c>
      <c r="B91" s="3">
        <v>44149</v>
      </c>
      <c r="C91" s="4">
        <f t="shared" si="2"/>
        <v>761</v>
      </c>
      <c r="D91" s="5" t="s">
        <v>101</v>
      </c>
      <c r="E91" s="5">
        <v>20495190014</v>
      </c>
      <c r="F91" s="5" t="s">
        <v>48</v>
      </c>
      <c r="G91" s="5" t="s">
        <v>13</v>
      </c>
      <c r="H91" s="5" t="s">
        <v>29</v>
      </c>
      <c r="I91" s="31">
        <v>0</v>
      </c>
      <c r="J91" s="31">
        <v>56.99</v>
      </c>
      <c r="K91" s="6" t="str">
        <f t="shared" si="3"/>
        <v>180 &lt;= 360 DIAS</v>
      </c>
      <c r="L91" s="7" t="str">
        <f>_xlfn.CONCAT(TEXT(MONTH(DATA[[#This Row],[FECHA DE VENCIMIENTO]]),"00"),"-",TEXT(DATA[[#This Row],[FECHA DE VENCIMIENTO]],"MMM"))</f>
        <v>11-Nov</v>
      </c>
    </row>
    <row r="92" spans="1:12" hidden="1" x14ac:dyDescent="0.3">
      <c r="A92" s="3">
        <v>44620</v>
      </c>
      <c r="B92" s="3">
        <v>44150</v>
      </c>
      <c r="C92" s="4">
        <f t="shared" si="2"/>
        <v>760</v>
      </c>
      <c r="D92" s="5" t="s">
        <v>104</v>
      </c>
      <c r="E92" s="5">
        <v>20392847155</v>
      </c>
      <c r="F92" s="5" t="s">
        <v>53</v>
      </c>
      <c r="G92" s="5" t="s">
        <v>16</v>
      </c>
      <c r="H92" s="5" t="s">
        <v>29</v>
      </c>
      <c r="I92" s="31">
        <v>0</v>
      </c>
      <c r="J92" s="31">
        <v>346.92</v>
      </c>
      <c r="K92" s="6" t="str">
        <f t="shared" si="3"/>
        <v>180 &lt;= 360 DIAS</v>
      </c>
      <c r="L92" s="7" t="str">
        <f>_xlfn.CONCAT(TEXT(MONTH(DATA[[#This Row],[FECHA DE VENCIMIENTO]]),"00"),"-",TEXT(DATA[[#This Row],[FECHA DE VENCIMIENTO]],"MMM"))</f>
        <v>11-Nov</v>
      </c>
    </row>
    <row r="93" spans="1:12" ht="31.2" hidden="1" x14ac:dyDescent="0.3">
      <c r="A93" s="3">
        <v>44620</v>
      </c>
      <c r="B93" s="3">
        <v>44150</v>
      </c>
      <c r="C93" s="4">
        <f t="shared" si="2"/>
        <v>760</v>
      </c>
      <c r="D93" s="5" t="s">
        <v>106</v>
      </c>
      <c r="E93" s="5">
        <v>10424237448</v>
      </c>
      <c r="F93" s="5" t="s">
        <v>77</v>
      </c>
      <c r="G93" s="5" t="s">
        <v>46</v>
      </c>
      <c r="H93" s="5" t="s">
        <v>29</v>
      </c>
      <c r="I93" s="31">
        <v>0</v>
      </c>
      <c r="J93" s="31">
        <v>348.1</v>
      </c>
      <c r="K93" s="6" t="str">
        <f t="shared" si="3"/>
        <v>180 &lt;= 360 DIAS</v>
      </c>
      <c r="L93" s="7" t="str">
        <f>_xlfn.CONCAT(TEXT(MONTH(DATA[[#This Row],[FECHA DE VENCIMIENTO]]),"00"),"-",TEXT(DATA[[#This Row],[FECHA DE VENCIMIENTO]],"MMM"))</f>
        <v>11-Nov</v>
      </c>
    </row>
    <row r="94" spans="1:12" ht="31.2" hidden="1" x14ac:dyDescent="0.3">
      <c r="A94" s="3">
        <v>44620</v>
      </c>
      <c r="B94" s="3">
        <v>44150</v>
      </c>
      <c r="C94" s="4">
        <f t="shared" si="2"/>
        <v>760</v>
      </c>
      <c r="D94" s="5" t="s">
        <v>103</v>
      </c>
      <c r="E94" s="5">
        <v>10424237448</v>
      </c>
      <c r="F94" s="5" t="s">
        <v>77</v>
      </c>
      <c r="G94" s="5" t="s">
        <v>46</v>
      </c>
      <c r="H94" s="5" t="s">
        <v>7</v>
      </c>
      <c r="I94" s="31">
        <v>4773.79</v>
      </c>
      <c r="J94" s="31">
        <v>0</v>
      </c>
      <c r="K94" s="6" t="str">
        <f t="shared" si="3"/>
        <v>180 &lt;= 360 DIAS</v>
      </c>
      <c r="L94" s="7" t="str">
        <f>_xlfn.CONCAT(TEXT(MONTH(DATA[[#This Row],[FECHA DE VENCIMIENTO]]),"00"),"-",TEXT(DATA[[#This Row],[FECHA DE VENCIMIENTO]],"MMM"))</f>
        <v>11-Nov</v>
      </c>
    </row>
    <row r="95" spans="1:12" ht="31.2" hidden="1" x14ac:dyDescent="0.3">
      <c r="A95" s="3">
        <v>44620</v>
      </c>
      <c r="B95" s="3">
        <v>44150</v>
      </c>
      <c r="C95" s="4">
        <f t="shared" si="2"/>
        <v>760</v>
      </c>
      <c r="D95" s="5" t="s">
        <v>105</v>
      </c>
      <c r="E95" s="5">
        <v>10424237448</v>
      </c>
      <c r="F95" s="5" t="s">
        <v>77</v>
      </c>
      <c r="G95" s="5" t="s">
        <v>46</v>
      </c>
      <c r="H95" s="5" t="s">
        <v>29</v>
      </c>
      <c r="I95" s="31">
        <v>0</v>
      </c>
      <c r="J95" s="31">
        <v>1612.18</v>
      </c>
      <c r="K95" s="6" t="str">
        <f t="shared" si="3"/>
        <v>180 &lt;= 360 DIAS</v>
      </c>
      <c r="L95" s="7" t="str">
        <f>_xlfn.CONCAT(TEXT(MONTH(DATA[[#This Row],[FECHA DE VENCIMIENTO]]),"00"),"-",TEXT(DATA[[#This Row],[FECHA DE VENCIMIENTO]],"MMM"))</f>
        <v>11-Nov</v>
      </c>
    </row>
    <row r="96" spans="1:12" ht="31.2" hidden="1" x14ac:dyDescent="0.3">
      <c r="A96" s="3">
        <v>44620</v>
      </c>
      <c r="B96" s="3">
        <v>44153</v>
      </c>
      <c r="C96" s="4">
        <f t="shared" si="2"/>
        <v>757</v>
      </c>
      <c r="D96" s="5" t="s">
        <v>107</v>
      </c>
      <c r="E96" s="5">
        <v>10424237448</v>
      </c>
      <c r="F96" s="5" t="s">
        <v>77</v>
      </c>
      <c r="G96" s="5" t="s">
        <v>46</v>
      </c>
      <c r="H96" s="5" t="s">
        <v>29</v>
      </c>
      <c r="I96" s="31">
        <v>0</v>
      </c>
      <c r="J96" s="31">
        <v>566.4</v>
      </c>
      <c r="K96" s="6" t="str">
        <f t="shared" si="3"/>
        <v>180 &lt;= 360 DIAS</v>
      </c>
      <c r="L96" s="7" t="str">
        <f>_xlfn.CONCAT(TEXT(MONTH(DATA[[#This Row],[FECHA DE VENCIMIENTO]]),"00"),"-",TEXT(DATA[[#This Row],[FECHA DE VENCIMIENTO]],"MMM"))</f>
        <v>11-Nov</v>
      </c>
    </row>
    <row r="97" spans="1:12" ht="31.2" hidden="1" x14ac:dyDescent="0.3">
      <c r="A97" s="3">
        <v>44620</v>
      </c>
      <c r="B97" s="3">
        <v>44154</v>
      </c>
      <c r="C97" s="4">
        <f t="shared" si="2"/>
        <v>756</v>
      </c>
      <c r="D97" s="5" t="s">
        <v>108</v>
      </c>
      <c r="E97" s="5">
        <v>10424237448</v>
      </c>
      <c r="F97" s="5" t="s">
        <v>77</v>
      </c>
      <c r="G97" s="5" t="s">
        <v>46</v>
      </c>
      <c r="H97" s="5" t="s">
        <v>29</v>
      </c>
      <c r="I97" s="31">
        <v>0</v>
      </c>
      <c r="J97" s="31">
        <v>590</v>
      </c>
      <c r="K97" s="6" t="str">
        <f t="shared" si="3"/>
        <v>180 &lt;= 360 DIAS</v>
      </c>
      <c r="L97" s="7" t="str">
        <f>_xlfn.CONCAT(TEXT(MONTH(DATA[[#This Row],[FECHA DE VENCIMIENTO]]),"00"),"-",TEXT(DATA[[#This Row],[FECHA DE VENCIMIENTO]],"MMM"))</f>
        <v>11-Nov</v>
      </c>
    </row>
    <row r="98" spans="1:12" ht="31.2" hidden="1" x14ac:dyDescent="0.3">
      <c r="A98" s="3">
        <v>44620</v>
      </c>
      <c r="B98" s="3">
        <v>44155</v>
      </c>
      <c r="C98" s="4">
        <f t="shared" si="2"/>
        <v>755</v>
      </c>
      <c r="D98" s="5" t="s">
        <v>109</v>
      </c>
      <c r="E98" s="5">
        <v>10424237448</v>
      </c>
      <c r="F98" s="5" t="s">
        <v>77</v>
      </c>
      <c r="G98" s="5" t="s">
        <v>46</v>
      </c>
      <c r="H98" s="5" t="s">
        <v>7</v>
      </c>
      <c r="I98" s="31">
        <v>6437.1</v>
      </c>
      <c r="J98" s="31">
        <v>0</v>
      </c>
      <c r="K98" s="6" t="str">
        <f t="shared" si="3"/>
        <v>180 &lt;= 360 DIAS</v>
      </c>
      <c r="L98" s="7" t="str">
        <f>_xlfn.CONCAT(TEXT(MONTH(DATA[[#This Row],[FECHA DE VENCIMIENTO]]),"00"),"-",TEXT(DATA[[#This Row],[FECHA DE VENCIMIENTO]],"MMM"))</f>
        <v>11-Nov</v>
      </c>
    </row>
    <row r="99" spans="1:12" hidden="1" x14ac:dyDescent="0.3">
      <c r="A99" s="3">
        <v>44620</v>
      </c>
      <c r="B99" s="3">
        <v>44162</v>
      </c>
      <c r="C99" s="4">
        <f t="shared" si="2"/>
        <v>748</v>
      </c>
      <c r="D99" s="5" t="s">
        <v>110</v>
      </c>
      <c r="E99" s="5">
        <v>20392847155</v>
      </c>
      <c r="F99" s="5" t="s">
        <v>53</v>
      </c>
      <c r="G99" s="5" t="s">
        <v>16</v>
      </c>
      <c r="H99" s="5" t="s">
        <v>29</v>
      </c>
      <c r="I99" s="31">
        <v>0</v>
      </c>
      <c r="J99" s="31">
        <v>346.92</v>
      </c>
      <c r="K99" s="6" t="str">
        <f t="shared" si="3"/>
        <v>180 &lt;= 360 DIAS</v>
      </c>
      <c r="L99" s="7" t="str">
        <f>_xlfn.CONCAT(TEXT(MONTH(DATA[[#This Row],[FECHA DE VENCIMIENTO]]),"00"),"-",TEXT(DATA[[#This Row],[FECHA DE VENCIMIENTO]],"MMM"))</f>
        <v>11-Nov</v>
      </c>
    </row>
    <row r="100" spans="1:12" hidden="1" x14ac:dyDescent="0.3">
      <c r="A100" s="3">
        <v>44620</v>
      </c>
      <c r="B100" s="3">
        <v>44164</v>
      </c>
      <c r="C100" s="4">
        <f t="shared" si="2"/>
        <v>746</v>
      </c>
      <c r="D100" s="5" t="s">
        <v>112</v>
      </c>
      <c r="E100" s="5">
        <v>20600240502</v>
      </c>
      <c r="F100" s="5" t="s">
        <v>98</v>
      </c>
      <c r="G100" s="5" t="s">
        <v>13</v>
      </c>
      <c r="H100" s="5" t="s">
        <v>7</v>
      </c>
      <c r="I100" s="31">
        <v>1280.3</v>
      </c>
      <c r="J100" s="31">
        <v>0</v>
      </c>
      <c r="K100" s="6" t="str">
        <f t="shared" si="3"/>
        <v>180 &lt;= 360 DIAS</v>
      </c>
      <c r="L100" s="7" t="str">
        <f>_xlfn.CONCAT(TEXT(MONTH(DATA[[#This Row],[FECHA DE VENCIMIENTO]]),"00"),"-",TEXT(DATA[[#This Row],[FECHA DE VENCIMIENTO]],"MMM"))</f>
        <v>11-Nov</v>
      </c>
    </row>
    <row r="101" spans="1:12" ht="31.2" hidden="1" x14ac:dyDescent="0.3">
      <c r="A101" s="3">
        <v>44620</v>
      </c>
      <c r="B101" s="3">
        <v>44164</v>
      </c>
      <c r="C101" s="4">
        <f t="shared" si="2"/>
        <v>746</v>
      </c>
      <c r="D101" s="5" t="s">
        <v>111</v>
      </c>
      <c r="E101" s="5">
        <v>20495190014</v>
      </c>
      <c r="F101" s="5" t="s">
        <v>48</v>
      </c>
      <c r="G101" s="5" t="s">
        <v>13</v>
      </c>
      <c r="H101" s="5" t="s">
        <v>29</v>
      </c>
      <c r="I101" s="31">
        <v>0</v>
      </c>
      <c r="J101" s="31">
        <v>38.14</v>
      </c>
      <c r="K101" s="6" t="str">
        <f t="shared" si="3"/>
        <v>180 &lt;= 360 DIAS</v>
      </c>
      <c r="L101" s="7" t="str">
        <f>_xlfn.CONCAT(TEXT(MONTH(DATA[[#This Row],[FECHA DE VENCIMIENTO]]),"00"),"-",TEXT(DATA[[#This Row],[FECHA DE VENCIMIENTO]],"MMM"))</f>
        <v>11-Nov</v>
      </c>
    </row>
    <row r="102" spans="1:12" hidden="1" x14ac:dyDescent="0.3">
      <c r="A102" s="3">
        <v>44620</v>
      </c>
      <c r="B102" s="3">
        <v>44165</v>
      </c>
      <c r="C102" s="4">
        <f t="shared" si="2"/>
        <v>745</v>
      </c>
      <c r="D102" s="5" t="s">
        <v>115</v>
      </c>
      <c r="E102" s="5">
        <v>20563755629</v>
      </c>
      <c r="F102" s="5" t="s">
        <v>25</v>
      </c>
      <c r="G102" s="5" t="s">
        <v>26</v>
      </c>
      <c r="H102" s="5" t="s">
        <v>7</v>
      </c>
      <c r="I102" s="31">
        <v>141.6</v>
      </c>
      <c r="J102" s="31">
        <v>0</v>
      </c>
      <c r="K102" s="6" t="str">
        <f t="shared" si="3"/>
        <v>180 &lt;= 360 DIAS</v>
      </c>
      <c r="L102" s="7" t="str">
        <f>_xlfn.CONCAT(TEXT(MONTH(DATA[[#This Row],[FECHA DE VENCIMIENTO]]),"00"),"-",TEXT(DATA[[#This Row],[FECHA DE VENCIMIENTO]],"MMM"))</f>
        <v>11-Nov</v>
      </c>
    </row>
    <row r="103" spans="1:12" hidden="1" x14ac:dyDescent="0.3">
      <c r="A103" s="3">
        <v>44620</v>
      </c>
      <c r="B103" s="3">
        <v>44165</v>
      </c>
      <c r="C103" s="4">
        <f t="shared" si="2"/>
        <v>745</v>
      </c>
      <c r="D103" s="5" t="s">
        <v>118</v>
      </c>
      <c r="E103" s="5">
        <v>20563755629</v>
      </c>
      <c r="F103" s="5" t="s">
        <v>25</v>
      </c>
      <c r="G103" s="5" t="s">
        <v>26</v>
      </c>
      <c r="H103" s="5" t="s">
        <v>7</v>
      </c>
      <c r="I103" s="31">
        <v>236</v>
      </c>
      <c r="J103" s="31">
        <v>0</v>
      </c>
      <c r="K103" s="6" t="str">
        <f t="shared" si="3"/>
        <v>180 &lt;= 360 DIAS</v>
      </c>
      <c r="L103" s="7" t="str">
        <f>_xlfn.CONCAT(TEXT(MONTH(DATA[[#This Row],[FECHA DE VENCIMIENTO]]),"00"),"-",TEXT(DATA[[#This Row],[FECHA DE VENCIMIENTO]],"MMM"))</f>
        <v>11-Nov</v>
      </c>
    </row>
    <row r="104" spans="1:12" hidden="1" x14ac:dyDescent="0.3">
      <c r="A104" s="3">
        <v>44620</v>
      </c>
      <c r="B104" s="3">
        <v>44165</v>
      </c>
      <c r="C104" s="4">
        <f t="shared" si="2"/>
        <v>745</v>
      </c>
      <c r="D104" s="5" t="s">
        <v>113</v>
      </c>
      <c r="E104" s="5">
        <v>20563755629</v>
      </c>
      <c r="F104" s="5" t="s">
        <v>25</v>
      </c>
      <c r="G104" s="5" t="s">
        <v>26</v>
      </c>
      <c r="H104" s="5" t="s">
        <v>7</v>
      </c>
      <c r="I104" s="31">
        <v>44.86</v>
      </c>
      <c r="J104" s="31">
        <v>0</v>
      </c>
      <c r="K104" s="6" t="str">
        <f t="shared" si="3"/>
        <v>180 &lt;= 360 DIAS</v>
      </c>
      <c r="L104" s="7" t="str">
        <f>_xlfn.CONCAT(TEXT(MONTH(DATA[[#This Row],[FECHA DE VENCIMIENTO]]),"00"),"-",TEXT(DATA[[#This Row],[FECHA DE VENCIMIENTO]],"MMM"))</f>
        <v>11-Nov</v>
      </c>
    </row>
    <row r="105" spans="1:12" hidden="1" x14ac:dyDescent="0.3">
      <c r="A105" s="3">
        <v>44620</v>
      </c>
      <c r="B105" s="3">
        <v>44165</v>
      </c>
      <c r="C105" s="4">
        <f t="shared" si="2"/>
        <v>745</v>
      </c>
      <c r="D105" s="5" t="s">
        <v>114</v>
      </c>
      <c r="E105" s="5">
        <v>20563755629</v>
      </c>
      <c r="F105" s="5" t="s">
        <v>25</v>
      </c>
      <c r="G105" s="5" t="s">
        <v>26</v>
      </c>
      <c r="H105" s="5" t="s">
        <v>7</v>
      </c>
      <c r="I105" s="31">
        <v>141.6</v>
      </c>
      <c r="J105" s="31">
        <v>0</v>
      </c>
      <c r="K105" s="6" t="str">
        <f t="shared" si="3"/>
        <v>180 &lt;= 360 DIAS</v>
      </c>
      <c r="L105" s="7" t="str">
        <f>_xlfn.CONCAT(TEXT(MONTH(DATA[[#This Row],[FECHA DE VENCIMIENTO]]),"00"),"-",TEXT(DATA[[#This Row],[FECHA DE VENCIMIENTO]],"MMM"))</f>
        <v>11-Nov</v>
      </c>
    </row>
    <row r="106" spans="1:12" hidden="1" x14ac:dyDescent="0.3">
      <c r="A106" s="3">
        <v>44620</v>
      </c>
      <c r="B106" s="3">
        <v>44165</v>
      </c>
      <c r="C106" s="4">
        <f t="shared" si="2"/>
        <v>745</v>
      </c>
      <c r="D106" s="5" t="s">
        <v>116</v>
      </c>
      <c r="E106" s="5">
        <v>20563755629</v>
      </c>
      <c r="F106" s="5" t="s">
        <v>25</v>
      </c>
      <c r="G106" s="5" t="s">
        <v>26</v>
      </c>
      <c r="H106" s="5" t="s">
        <v>7</v>
      </c>
      <c r="I106" s="31">
        <v>141.6</v>
      </c>
      <c r="J106" s="31">
        <v>0</v>
      </c>
      <c r="K106" s="6" t="str">
        <f t="shared" si="3"/>
        <v>180 &lt;= 360 DIAS</v>
      </c>
      <c r="L106" s="7" t="str">
        <f>_xlfn.CONCAT(TEXT(MONTH(DATA[[#This Row],[FECHA DE VENCIMIENTO]]),"00"),"-",TEXT(DATA[[#This Row],[FECHA DE VENCIMIENTO]],"MMM"))</f>
        <v>11-Nov</v>
      </c>
    </row>
    <row r="107" spans="1:12" hidden="1" x14ac:dyDescent="0.3">
      <c r="A107" s="3">
        <v>44620</v>
      </c>
      <c r="B107" s="3">
        <v>44165</v>
      </c>
      <c r="C107" s="4">
        <f t="shared" si="2"/>
        <v>745</v>
      </c>
      <c r="D107" s="5" t="s">
        <v>117</v>
      </c>
      <c r="E107" s="5">
        <v>20563755629</v>
      </c>
      <c r="F107" s="5" t="s">
        <v>25</v>
      </c>
      <c r="G107" s="5" t="s">
        <v>26</v>
      </c>
      <c r="H107" s="5" t="s">
        <v>7</v>
      </c>
      <c r="I107" s="31">
        <v>236</v>
      </c>
      <c r="J107" s="31">
        <v>0</v>
      </c>
      <c r="K107" s="6" t="str">
        <f t="shared" si="3"/>
        <v>180 &lt;= 360 DIAS</v>
      </c>
      <c r="L107" s="7" t="str">
        <f>_xlfn.CONCAT(TEXT(MONTH(DATA[[#This Row],[FECHA DE VENCIMIENTO]]),"00"),"-",TEXT(DATA[[#This Row],[FECHA DE VENCIMIENTO]],"MMM"))</f>
        <v>11-Nov</v>
      </c>
    </row>
    <row r="108" spans="1:12" hidden="1" x14ac:dyDescent="0.3">
      <c r="A108" s="3">
        <v>44620</v>
      </c>
      <c r="B108" s="3">
        <v>44171</v>
      </c>
      <c r="C108" s="4">
        <f t="shared" si="2"/>
        <v>739</v>
      </c>
      <c r="D108" s="5" t="s">
        <v>119</v>
      </c>
      <c r="E108" s="5">
        <v>20392847155</v>
      </c>
      <c r="F108" s="5" t="s">
        <v>53</v>
      </c>
      <c r="G108" s="5" t="s">
        <v>16</v>
      </c>
      <c r="H108" s="5" t="s">
        <v>29</v>
      </c>
      <c r="I108" s="31">
        <v>0</v>
      </c>
      <c r="J108" s="31">
        <v>1132.8</v>
      </c>
      <c r="K108" s="6" t="str">
        <f t="shared" si="3"/>
        <v>180 &lt;= 360 DIAS</v>
      </c>
      <c r="L108" s="7" t="str">
        <f>_xlfn.CONCAT(TEXT(MONTH(DATA[[#This Row],[FECHA DE VENCIMIENTO]]),"00"),"-",TEXT(DATA[[#This Row],[FECHA DE VENCIMIENTO]],"MMM"))</f>
        <v>12-Dic</v>
      </c>
    </row>
    <row r="109" spans="1:12" hidden="1" x14ac:dyDescent="0.3">
      <c r="A109" s="3">
        <v>44620</v>
      </c>
      <c r="B109" s="3">
        <v>44174</v>
      </c>
      <c r="C109" s="4">
        <f t="shared" si="2"/>
        <v>736</v>
      </c>
      <c r="D109" s="5" t="s">
        <v>120</v>
      </c>
      <c r="E109" s="5">
        <v>20392847155</v>
      </c>
      <c r="F109" s="5" t="s">
        <v>53</v>
      </c>
      <c r="G109" s="5" t="s">
        <v>16</v>
      </c>
      <c r="H109" s="5" t="s">
        <v>29</v>
      </c>
      <c r="I109" s="31">
        <v>0</v>
      </c>
      <c r="J109" s="31">
        <v>1132.8</v>
      </c>
      <c r="K109" s="6" t="str">
        <f t="shared" si="3"/>
        <v>180 &lt;= 360 DIAS</v>
      </c>
      <c r="L109" s="7" t="str">
        <f>_xlfn.CONCAT(TEXT(MONTH(DATA[[#This Row],[FECHA DE VENCIMIENTO]]),"00"),"-",TEXT(DATA[[#This Row],[FECHA DE VENCIMIENTO]],"MMM"))</f>
        <v>12-Dic</v>
      </c>
    </row>
    <row r="110" spans="1:12" hidden="1" x14ac:dyDescent="0.3">
      <c r="A110" s="3">
        <v>44620</v>
      </c>
      <c r="B110" s="3">
        <v>44178</v>
      </c>
      <c r="C110" s="4">
        <f t="shared" si="2"/>
        <v>732</v>
      </c>
      <c r="D110" s="5" t="s">
        <v>122</v>
      </c>
      <c r="E110" s="5">
        <v>20600240502</v>
      </c>
      <c r="F110" s="5" t="s">
        <v>98</v>
      </c>
      <c r="G110" s="5" t="s">
        <v>13</v>
      </c>
      <c r="H110" s="5" t="s">
        <v>7</v>
      </c>
      <c r="I110" s="31">
        <v>1280.3</v>
      </c>
      <c r="J110" s="31">
        <v>0</v>
      </c>
      <c r="K110" s="6" t="str">
        <f t="shared" si="3"/>
        <v>180 &lt;= 360 DIAS</v>
      </c>
      <c r="L110" s="7" t="str">
        <f>_xlfn.CONCAT(TEXT(MONTH(DATA[[#This Row],[FECHA DE VENCIMIENTO]]),"00"),"-",TEXT(DATA[[#This Row],[FECHA DE VENCIMIENTO]],"MMM"))</f>
        <v>12-Dic</v>
      </c>
    </row>
    <row r="111" spans="1:12" hidden="1" x14ac:dyDescent="0.3">
      <c r="A111" s="3">
        <v>44620</v>
      </c>
      <c r="B111" s="3">
        <v>44178</v>
      </c>
      <c r="C111" s="4">
        <f t="shared" si="2"/>
        <v>732</v>
      </c>
      <c r="D111" s="5" t="s">
        <v>121</v>
      </c>
      <c r="E111" s="5">
        <v>20392847155</v>
      </c>
      <c r="F111" s="5" t="s">
        <v>53</v>
      </c>
      <c r="G111" s="5" t="s">
        <v>16</v>
      </c>
      <c r="H111" s="5" t="s">
        <v>29</v>
      </c>
      <c r="I111" s="31">
        <v>0</v>
      </c>
      <c r="J111" s="31">
        <v>1132.8</v>
      </c>
      <c r="K111" s="6" t="str">
        <f t="shared" si="3"/>
        <v>180 &lt;= 360 DIAS</v>
      </c>
      <c r="L111" s="7" t="str">
        <f>_xlfn.CONCAT(TEXT(MONTH(DATA[[#This Row],[FECHA DE VENCIMIENTO]]),"00"),"-",TEXT(DATA[[#This Row],[FECHA DE VENCIMIENTO]],"MMM"))</f>
        <v>12-Dic</v>
      </c>
    </row>
    <row r="112" spans="1:12" ht="31.2" hidden="1" x14ac:dyDescent="0.3">
      <c r="A112" s="3">
        <v>44620</v>
      </c>
      <c r="B112" s="3">
        <v>44179</v>
      </c>
      <c r="C112" s="4">
        <f t="shared" si="2"/>
        <v>731</v>
      </c>
      <c r="D112" s="5" t="s">
        <v>123</v>
      </c>
      <c r="E112" s="5">
        <v>20495009638</v>
      </c>
      <c r="F112" s="5" t="s">
        <v>18</v>
      </c>
      <c r="G112" s="5" t="s">
        <v>13</v>
      </c>
      <c r="H112" s="5" t="s">
        <v>7</v>
      </c>
      <c r="I112" s="31">
        <v>6258.72</v>
      </c>
      <c r="J112" s="31">
        <v>0</v>
      </c>
      <c r="K112" s="6" t="str">
        <f t="shared" si="3"/>
        <v>180 &lt;= 360 DIAS</v>
      </c>
      <c r="L112" s="7" t="str">
        <f>_xlfn.CONCAT(TEXT(MONTH(DATA[[#This Row],[FECHA DE VENCIMIENTO]]),"00"),"-",TEXT(DATA[[#This Row],[FECHA DE VENCIMIENTO]],"MMM"))</f>
        <v>12-Dic</v>
      </c>
    </row>
    <row r="113" spans="1:12" ht="31.2" hidden="1" x14ac:dyDescent="0.3">
      <c r="A113" s="3">
        <v>44620</v>
      </c>
      <c r="B113" s="3">
        <v>44180</v>
      </c>
      <c r="C113" s="4">
        <f t="shared" si="2"/>
        <v>730</v>
      </c>
      <c r="D113" s="5" t="s">
        <v>124</v>
      </c>
      <c r="E113" s="5">
        <v>10424237448</v>
      </c>
      <c r="F113" s="5" t="s">
        <v>77</v>
      </c>
      <c r="G113" s="5" t="s">
        <v>46</v>
      </c>
      <c r="H113" s="5" t="s">
        <v>7</v>
      </c>
      <c r="I113" s="31">
        <v>3687.5</v>
      </c>
      <c r="J113" s="31">
        <v>0</v>
      </c>
      <c r="K113" s="6" t="str">
        <f t="shared" si="3"/>
        <v>180 &lt;= 360 DIAS</v>
      </c>
      <c r="L113" s="7" t="str">
        <f>_xlfn.CONCAT(TEXT(MONTH(DATA[[#This Row],[FECHA DE VENCIMIENTO]]),"00"),"-",TEXT(DATA[[#This Row],[FECHA DE VENCIMIENTO]],"MMM"))</f>
        <v>12-Dic</v>
      </c>
    </row>
    <row r="114" spans="1:12" ht="31.2" hidden="1" x14ac:dyDescent="0.3">
      <c r="A114" s="3">
        <v>44620</v>
      </c>
      <c r="B114" s="3">
        <v>44182</v>
      </c>
      <c r="C114" s="4">
        <f t="shared" si="2"/>
        <v>728</v>
      </c>
      <c r="D114" s="5" t="s">
        <v>126</v>
      </c>
      <c r="E114" s="5">
        <v>10424237448</v>
      </c>
      <c r="F114" s="5" t="s">
        <v>77</v>
      </c>
      <c r="G114" s="5" t="s">
        <v>46</v>
      </c>
      <c r="H114" s="5" t="s">
        <v>29</v>
      </c>
      <c r="I114" s="31">
        <v>0</v>
      </c>
      <c r="J114" s="31">
        <v>219.48</v>
      </c>
      <c r="K114" s="6" t="str">
        <f t="shared" si="3"/>
        <v>180 &lt;= 360 DIAS</v>
      </c>
      <c r="L114" s="7" t="str">
        <f>_xlfn.CONCAT(TEXT(MONTH(DATA[[#This Row],[FECHA DE VENCIMIENTO]]),"00"),"-",TEXT(DATA[[#This Row],[FECHA DE VENCIMIENTO]],"MMM"))</f>
        <v>12-Dic</v>
      </c>
    </row>
    <row r="115" spans="1:12" ht="31.2" hidden="1" x14ac:dyDescent="0.3">
      <c r="A115" s="3">
        <v>44620</v>
      </c>
      <c r="B115" s="3">
        <v>44182</v>
      </c>
      <c r="C115" s="4">
        <f t="shared" si="2"/>
        <v>728</v>
      </c>
      <c r="D115" s="5" t="s">
        <v>125</v>
      </c>
      <c r="E115" s="5">
        <v>10424237448</v>
      </c>
      <c r="F115" s="5" t="s">
        <v>77</v>
      </c>
      <c r="G115" s="5" t="s">
        <v>46</v>
      </c>
      <c r="H115" s="5" t="s">
        <v>7</v>
      </c>
      <c r="I115" s="31">
        <v>1713.09</v>
      </c>
      <c r="J115" s="31">
        <v>0</v>
      </c>
      <c r="K115" s="6" t="str">
        <f t="shared" si="3"/>
        <v>180 &lt;= 360 DIAS</v>
      </c>
      <c r="L115" s="7" t="str">
        <f>_xlfn.CONCAT(TEXT(MONTH(DATA[[#This Row],[FECHA DE VENCIMIENTO]]),"00"),"-",TEXT(DATA[[#This Row],[FECHA DE VENCIMIENTO]],"MMM"))</f>
        <v>12-Dic</v>
      </c>
    </row>
    <row r="116" spans="1:12" hidden="1" x14ac:dyDescent="0.3">
      <c r="A116" s="3">
        <v>44620</v>
      </c>
      <c r="B116" s="3">
        <v>44185</v>
      </c>
      <c r="C116" s="4">
        <f t="shared" si="2"/>
        <v>725</v>
      </c>
      <c r="D116" s="5" t="s">
        <v>127</v>
      </c>
      <c r="E116" s="5">
        <v>20600240502</v>
      </c>
      <c r="F116" s="5" t="s">
        <v>98</v>
      </c>
      <c r="G116" s="5" t="s">
        <v>13</v>
      </c>
      <c r="H116" s="5" t="s">
        <v>7</v>
      </c>
      <c r="I116" s="31">
        <v>1280.3</v>
      </c>
      <c r="J116" s="31">
        <v>0</v>
      </c>
      <c r="K116" s="6" t="str">
        <f t="shared" si="3"/>
        <v>180 &lt;= 360 DIAS</v>
      </c>
      <c r="L116" s="7" t="str">
        <f>_xlfn.CONCAT(TEXT(MONTH(DATA[[#This Row],[FECHA DE VENCIMIENTO]]),"00"),"-",TEXT(DATA[[#This Row],[FECHA DE VENCIMIENTO]],"MMM"))</f>
        <v>12-Dic</v>
      </c>
    </row>
    <row r="117" spans="1:12" ht="31.2" hidden="1" x14ac:dyDescent="0.3">
      <c r="A117" s="3">
        <v>44620</v>
      </c>
      <c r="B117" s="3">
        <v>44186</v>
      </c>
      <c r="C117" s="4">
        <f t="shared" si="2"/>
        <v>724</v>
      </c>
      <c r="D117" s="5" t="s">
        <v>128</v>
      </c>
      <c r="E117" s="5">
        <v>20495009638</v>
      </c>
      <c r="F117" s="5" t="s">
        <v>18</v>
      </c>
      <c r="G117" s="5" t="s">
        <v>13</v>
      </c>
      <c r="H117" s="5" t="s">
        <v>7</v>
      </c>
      <c r="I117" s="31">
        <v>6258.72</v>
      </c>
      <c r="J117" s="31">
        <v>0</v>
      </c>
      <c r="K117" s="6" t="str">
        <f t="shared" si="3"/>
        <v>180 &lt;= 360 DIAS</v>
      </c>
      <c r="L117" s="7" t="str">
        <f>_xlfn.CONCAT(TEXT(MONTH(DATA[[#This Row],[FECHA DE VENCIMIENTO]]),"00"),"-",TEXT(DATA[[#This Row],[FECHA DE VENCIMIENTO]],"MMM"))</f>
        <v>12-Dic</v>
      </c>
    </row>
    <row r="118" spans="1:12" ht="31.2" hidden="1" x14ac:dyDescent="0.3">
      <c r="A118" s="3">
        <v>44620</v>
      </c>
      <c r="B118" s="3">
        <v>44189</v>
      </c>
      <c r="C118" s="4">
        <f t="shared" si="2"/>
        <v>721</v>
      </c>
      <c r="D118" s="5" t="s">
        <v>129</v>
      </c>
      <c r="E118" s="5">
        <v>20528195475</v>
      </c>
      <c r="F118" s="5" t="s">
        <v>130</v>
      </c>
      <c r="G118" s="5" t="s">
        <v>46</v>
      </c>
      <c r="H118" s="5" t="s">
        <v>29</v>
      </c>
      <c r="I118" s="31">
        <v>0</v>
      </c>
      <c r="J118" s="31">
        <v>1649.64</v>
      </c>
      <c r="K118" s="6" t="str">
        <f t="shared" si="3"/>
        <v>180 &lt;= 360 DIAS</v>
      </c>
      <c r="L118" s="7" t="str">
        <f>_xlfn.CONCAT(TEXT(MONTH(DATA[[#This Row],[FECHA DE VENCIMIENTO]]),"00"),"-",TEXT(DATA[[#This Row],[FECHA DE VENCIMIENTO]],"MMM"))</f>
        <v>12-Dic</v>
      </c>
    </row>
    <row r="119" spans="1:12" hidden="1" x14ac:dyDescent="0.3">
      <c r="A119" s="3">
        <v>44620</v>
      </c>
      <c r="B119" s="3">
        <v>44190</v>
      </c>
      <c r="C119" s="4">
        <f t="shared" si="2"/>
        <v>720</v>
      </c>
      <c r="D119" s="5" t="s">
        <v>131</v>
      </c>
      <c r="E119" s="5">
        <v>20392847155</v>
      </c>
      <c r="F119" s="5" t="s">
        <v>53</v>
      </c>
      <c r="G119" s="5" t="s">
        <v>16</v>
      </c>
      <c r="H119" s="5" t="s">
        <v>29</v>
      </c>
      <c r="I119" s="31">
        <v>0</v>
      </c>
      <c r="J119" s="31">
        <v>1062</v>
      </c>
      <c r="K119" s="6" t="str">
        <f t="shared" si="3"/>
        <v>180 &lt;= 360 DIAS</v>
      </c>
      <c r="L119" s="7" t="str">
        <f>_xlfn.CONCAT(TEXT(MONTH(DATA[[#This Row],[FECHA DE VENCIMIENTO]]),"00"),"-",TEXT(DATA[[#This Row],[FECHA DE VENCIMIENTO]],"MMM"))</f>
        <v>12-Dic</v>
      </c>
    </row>
    <row r="120" spans="1:12" ht="31.2" hidden="1" x14ac:dyDescent="0.3">
      <c r="A120" s="3">
        <v>44620</v>
      </c>
      <c r="B120" s="3">
        <v>44191</v>
      </c>
      <c r="C120" s="4">
        <f t="shared" si="2"/>
        <v>719</v>
      </c>
      <c r="D120" s="5" t="s">
        <v>132</v>
      </c>
      <c r="E120" s="5">
        <v>20495190014</v>
      </c>
      <c r="F120" s="5" t="s">
        <v>48</v>
      </c>
      <c r="G120" s="5" t="s">
        <v>13</v>
      </c>
      <c r="H120" s="5" t="s">
        <v>7</v>
      </c>
      <c r="I120" s="31">
        <v>8719.7000000000007</v>
      </c>
      <c r="J120" s="31">
        <v>0</v>
      </c>
      <c r="K120" s="6" t="str">
        <f t="shared" si="3"/>
        <v>180 &lt;= 360 DIAS</v>
      </c>
      <c r="L120" s="7" t="str">
        <f>_xlfn.CONCAT(TEXT(MONTH(DATA[[#This Row],[FECHA DE VENCIMIENTO]]),"00"),"-",TEXT(DATA[[#This Row],[FECHA DE VENCIMIENTO]],"MMM"))</f>
        <v>12-Dic</v>
      </c>
    </row>
    <row r="121" spans="1:12" ht="31.2" hidden="1" x14ac:dyDescent="0.3">
      <c r="A121" s="3">
        <v>44620</v>
      </c>
      <c r="B121" s="3">
        <v>44193</v>
      </c>
      <c r="C121" s="4">
        <f t="shared" si="2"/>
        <v>717</v>
      </c>
      <c r="D121" s="5" t="s">
        <v>133</v>
      </c>
      <c r="E121" s="5">
        <v>20495009638</v>
      </c>
      <c r="F121" s="5" t="s">
        <v>18</v>
      </c>
      <c r="G121" s="5" t="s">
        <v>13</v>
      </c>
      <c r="H121" s="5" t="s">
        <v>7</v>
      </c>
      <c r="I121" s="31">
        <v>6258.72</v>
      </c>
      <c r="J121" s="31">
        <v>0</v>
      </c>
      <c r="K121" s="6" t="str">
        <f t="shared" si="3"/>
        <v>180 &lt;= 360 DIAS</v>
      </c>
      <c r="L121" s="7" t="str">
        <f>_xlfn.CONCAT(TEXT(MONTH(DATA[[#This Row],[FECHA DE VENCIMIENTO]]),"00"),"-",TEXT(DATA[[#This Row],[FECHA DE VENCIMIENTO]],"MMM"))</f>
        <v>12-Dic</v>
      </c>
    </row>
    <row r="122" spans="1:12" hidden="1" x14ac:dyDescent="0.3">
      <c r="A122" s="3">
        <v>44620</v>
      </c>
      <c r="B122" s="3">
        <v>44200</v>
      </c>
      <c r="C122" s="4">
        <f t="shared" si="2"/>
        <v>710</v>
      </c>
      <c r="D122" s="5" t="s">
        <v>134</v>
      </c>
      <c r="E122" s="5">
        <v>20392847155</v>
      </c>
      <c r="F122" s="5" t="s">
        <v>53</v>
      </c>
      <c r="G122" s="5" t="s">
        <v>16</v>
      </c>
      <c r="H122" s="5" t="s">
        <v>29</v>
      </c>
      <c r="I122" s="31">
        <v>0</v>
      </c>
      <c r="J122" s="31">
        <v>1132.8</v>
      </c>
      <c r="K122" s="6" t="str">
        <f t="shared" si="3"/>
        <v>180 &lt;= 360 DIAS</v>
      </c>
      <c r="L122" s="7" t="str">
        <f>_xlfn.CONCAT(TEXT(MONTH(DATA[[#This Row],[FECHA DE VENCIMIENTO]]),"00"),"-",TEXT(DATA[[#This Row],[FECHA DE VENCIMIENTO]],"MMM"))</f>
        <v>01-Ene</v>
      </c>
    </row>
    <row r="123" spans="1:12" hidden="1" x14ac:dyDescent="0.3">
      <c r="A123" s="3">
        <v>44620</v>
      </c>
      <c r="B123" s="3">
        <v>44201</v>
      </c>
      <c r="C123" s="4">
        <f t="shared" si="2"/>
        <v>709</v>
      </c>
      <c r="D123" s="5" t="s">
        <v>135</v>
      </c>
      <c r="E123" s="5">
        <v>20563755629</v>
      </c>
      <c r="F123" s="5" t="s">
        <v>25</v>
      </c>
      <c r="G123" s="5" t="s">
        <v>26</v>
      </c>
      <c r="H123" s="5" t="s">
        <v>7</v>
      </c>
      <c r="I123" s="31">
        <v>236</v>
      </c>
      <c r="J123" s="31">
        <v>0</v>
      </c>
      <c r="K123" s="6" t="str">
        <f t="shared" si="3"/>
        <v>180 &lt;= 360 DIAS</v>
      </c>
      <c r="L123" s="7" t="str">
        <f>_xlfn.CONCAT(TEXT(MONTH(DATA[[#This Row],[FECHA DE VENCIMIENTO]]),"00"),"-",TEXT(DATA[[#This Row],[FECHA DE VENCIMIENTO]],"MMM"))</f>
        <v>01-Ene</v>
      </c>
    </row>
    <row r="124" spans="1:12" hidden="1" x14ac:dyDescent="0.3">
      <c r="A124" s="3">
        <v>44620</v>
      </c>
      <c r="B124" s="3">
        <v>44204</v>
      </c>
      <c r="C124" s="4">
        <f t="shared" si="2"/>
        <v>706</v>
      </c>
      <c r="D124" s="5" t="s">
        <v>136</v>
      </c>
      <c r="E124" s="5">
        <v>20392847155</v>
      </c>
      <c r="F124" s="5" t="s">
        <v>53</v>
      </c>
      <c r="G124" s="5" t="s">
        <v>16</v>
      </c>
      <c r="H124" s="5" t="s">
        <v>29</v>
      </c>
      <c r="I124" s="31">
        <v>0</v>
      </c>
      <c r="J124" s="31">
        <v>1062</v>
      </c>
      <c r="K124" s="6" t="str">
        <f t="shared" si="3"/>
        <v>180 &lt;= 360 DIAS</v>
      </c>
      <c r="L124" s="7" t="str">
        <f>_xlfn.CONCAT(TEXT(MONTH(DATA[[#This Row],[FECHA DE VENCIMIENTO]]),"00"),"-",TEXT(DATA[[#This Row],[FECHA DE VENCIMIENTO]],"MMM"))</f>
        <v>01-Ene</v>
      </c>
    </row>
    <row r="125" spans="1:12" ht="31.2" hidden="1" x14ac:dyDescent="0.3">
      <c r="A125" s="3">
        <v>44620</v>
      </c>
      <c r="B125" s="3">
        <v>44204</v>
      </c>
      <c r="C125" s="4">
        <f t="shared" si="2"/>
        <v>706</v>
      </c>
      <c r="D125" s="5" t="s">
        <v>137</v>
      </c>
      <c r="E125" s="5">
        <v>10424237448</v>
      </c>
      <c r="F125" s="5" t="s">
        <v>77</v>
      </c>
      <c r="G125" s="5" t="s">
        <v>46</v>
      </c>
      <c r="H125" s="5" t="s">
        <v>29</v>
      </c>
      <c r="I125" s="31">
        <v>0</v>
      </c>
      <c r="J125" s="31">
        <v>672.6</v>
      </c>
      <c r="K125" s="6" t="str">
        <f t="shared" si="3"/>
        <v>180 &lt;= 360 DIAS</v>
      </c>
      <c r="L125" s="7" t="str">
        <f>_xlfn.CONCAT(TEXT(MONTH(DATA[[#This Row],[FECHA DE VENCIMIENTO]]),"00"),"-",TEXT(DATA[[#This Row],[FECHA DE VENCIMIENTO]],"MMM"))</f>
        <v>01-Ene</v>
      </c>
    </row>
    <row r="126" spans="1:12" hidden="1" x14ac:dyDescent="0.3">
      <c r="A126" s="3">
        <v>44620</v>
      </c>
      <c r="B126" s="3">
        <v>44205</v>
      </c>
      <c r="C126" s="4">
        <f t="shared" si="2"/>
        <v>705</v>
      </c>
      <c r="D126" s="5" t="s">
        <v>138</v>
      </c>
      <c r="E126" s="5">
        <v>20600999312</v>
      </c>
      <c r="F126" s="5" t="s">
        <v>57</v>
      </c>
      <c r="G126" s="5" t="s">
        <v>58</v>
      </c>
      <c r="H126" s="5" t="s">
        <v>7</v>
      </c>
      <c r="I126" s="31">
        <v>803.01</v>
      </c>
      <c r="J126" s="31">
        <v>0</v>
      </c>
      <c r="K126" s="6" t="str">
        <f t="shared" si="3"/>
        <v>180 &lt;= 360 DIAS</v>
      </c>
      <c r="L126" s="7" t="str">
        <f>_xlfn.CONCAT(TEXT(MONTH(DATA[[#This Row],[FECHA DE VENCIMIENTO]]),"00"),"-",TEXT(DATA[[#This Row],[FECHA DE VENCIMIENTO]],"MMM"))</f>
        <v>01-Ene</v>
      </c>
    </row>
    <row r="127" spans="1:12" hidden="1" x14ac:dyDescent="0.3">
      <c r="A127" s="3">
        <v>44620</v>
      </c>
      <c r="B127" s="3">
        <v>44206</v>
      </c>
      <c r="C127" s="4">
        <f t="shared" si="2"/>
        <v>704</v>
      </c>
      <c r="D127" s="5" t="s">
        <v>139</v>
      </c>
      <c r="E127" s="5">
        <v>20392847155</v>
      </c>
      <c r="F127" s="5" t="s">
        <v>53</v>
      </c>
      <c r="G127" s="5" t="s">
        <v>16</v>
      </c>
      <c r="H127" s="5" t="s">
        <v>29</v>
      </c>
      <c r="I127" s="31">
        <v>0</v>
      </c>
      <c r="J127" s="31">
        <v>1062</v>
      </c>
      <c r="K127" s="6" t="str">
        <f t="shared" si="3"/>
        <v>180 &lt;= 360 DIAS</v>
      </c>
      <c r="L127" s="7" t="str">
        <f>_xlfn.CONCAT(TEXT(MONTH(DATA[[#This Row],[FECHA DE VENCIMIENTO]]),"00"),"-",TEXT(DATA[[#This Row],[FECHA DE VENCIMIENTO]],"MMM"))</f>
        <v>01-Ene</v>
      </c>
    </row>
    <row r="128" spans="1:12" hidden="1" x14ac:dyDescent="0.3">
      <c r="A128" s="3">
        <v>44620</v>
      </c>
      <c r="B128" s="3">
        <v>44208</v>
      </c>
      <c r="C128" s="4">
        <f t="shared" si="2"/>
        <v>702</v>
      </c>
      <c r="D128" s="5" t="s">
        <v>140</v>
      </c>
      <c r="E128" s="5">
        <v>20392847155</v>
      </c>
      <c r="F128" s="5" t="s">
        <v>53</v>
      </c>
      <c r="G128" s="5" t="s">
        <v>16</v>
      </c>
      <c r="H128" s="5" t="s">
        <v>29</v>
      </c>
      <c r="I128" s="31">
        <v>0</v>
      </c>
      <c r="J128" s="31">
        <v>1699.2</v>
      </c>
      <c r="K128" s="6" t="str">
        <f t="shared" si="3"/>
        <v>180 &lt;= 360 DIAS</v>
      </c>
      <c r="L128" s="7" t="str">
        <f>_xlfn.CONCAT(TEXT(MONTH(DATA[[#This Row],[FECHA DE VENCIMIENTO]]),"00"),"-",TEXT(DATA[[#This Row],[FECHA DE VENCIMIENTO]],"MMM"))</f>
        <v>01-Ene</v>
      </c>
    </row>
    <row r="129" spans="1:12" hidden="1" x14ac:dyDescent="0.3">
      <c r="A129" s="3">
        <v>44620</v>
      </c>
      <c r="B129" s="3">
        <v>44209</v>
      </c>
      <c r="C129" s="4">
        <f t="shared" si="2"/>
        <v>701</v>
      </c>
      <c r="D129" s="5" t="s">
        <v>141</v>
      </c>
      <c r="E129" s="5">
        <v>20392847155</v>
      </c>
      <c r="F129" s="5" t="s">
        <v>53</v>
      </c>
      <c r="G129" s="5" t="s">
        <v>16</v>
      </c>
      <c r="H129" s="5" t="s">
        <v>29</v>
      </c>
      <c r="I129" s="31">
        <v>0</v>
      </c>
      <c r="J129" s="31">
        <v>1062</v>
      </c>
      <c r="K129" s="6" t="str">
        <f t="shared" si="3"/>
        <v>180 &lt;= 360 DIAS</v>
      </c>
      <c r="L129" s="7" t="str">
        <f>_xlfn.CONCAT(TEXT(MONTH(DATA[[#This Row],[FECHA DE VENCIMIENTO]]),"00"),"-",TEXT(DATA[[#This Row],[FECHA DE VENCIMIENTO]],"MMM"))</f>
        <v>01-Ene</v>
      </c>
    </row>
    <row r="130" spans="1:12" hidden="1" x14ac:dyDescent="0.3">
      <c r="A130" s="3">
        <v>44620</v>
      </c>
      <c r="B130" s="3">
        <v>44212</v>
      </c>
      <c r="C130" s="4">
        <f t="shared" si="2"/>
        <v>698</v>
      </c>
      <c r="D130" s="5" t="s">
        <v>142</v>
      </c>
      <c r="E130" s="5">
        <v>20392847155</v>
      </c>
      <c r="F130" s="5" t="s">
        <v>53</v>
      </c>
      <c r="G130" s="5" t="s">
        <v>16</v>
      </c>
      <c r="H130" s="5" t="s">
        <v>29</v>
      </c>
      <c r="I130" s="31">
        <v>0</v>
      </c>
      <c r="J130" s="31">
        <v>1062</v>
      </c>
      <c r="K130" s="6" t="str">
        <f t="shared" si="3"/>
        <v>180 &lt;= 360 DIAS</v>
      </c>
      <c r="L130" s="7" t="str">
        <f>_xlfn.CONCAT(TEXT(MONTH(DATA[[#This Row],[FECHA DE VENCIMIENTO]]),"00"),"-",TEXT(DATA[[#This Row],[FECHA DE VENCIMIENTO]],"MMM"))</f>
        <v>01-Ene</v>
      </c>
    </row>
    <row r="131" spans="1:12" hidden="1" x14ac:dyDescent="0.3">
      <c r="A131" s="3">
        <v>44620</v>
      </c>
      <c r="B131" s="3">
        <v>44218</v>
      </c>
      <c r="C131" s="4">
        <f t="shared" si="2"/>
        <v>692</v>
      </c>
      <c r="D131" s="5" t="s">
        <v>143</v>
      </c>
      <c r="E131" s="5">
        <v>20392847155</v>
      </c>
      <c r="F131" s="5" t="s">
        <v>53</v>
      </c>
      <c r="G131" s="5" t="s">
        <v>16</v>
      </c>
      <c r="H131" s="5" t="s">
        <v>29</v>
      </c>
      <c r="I131" s="31">
        <v>0</v>
      </c>
      <c r="J131" s="31">
        <v>2124</v>
      </c>
      <c r="K131" s="6" t="str">
        <f t="shared" si="3"/>
        <v>180 &lt;= 360 DIAS</v>
      </c>
      <c r="L131" s="7" t="str">
        <f>_xlfn.CONCAT(TEXT(MONTH(DATA[[#This Row],[FECHA DE VENCIMIENTO]]),"00"),"-",TEXT(DATA[[#This Row],[FECHA DE VENCIMIENTO]],"MMM"))</f>
        <v>01-Ene</v>
      </c>
    </row>
    <row r="132" spans="1:12" hidden="1" x14ac:dyDescent="0.3">
      <c r="A132" s="3">
        <v>44620</v>
      </c>
      <c r="B132" s="3">
        <v>44223</v>
      </c>
      <c r="C132" s="4">
        <f t="shared" ref="C132:C195" si="4">$E$2-B132</f>
        <v>687</v>
      </c>
      <c r="D132" s="5" t="s">
        <v>144</v>
      </c>
      <c r="E132" s="5">
        <v>20392847155</v>
      </c>
      <c r="F132" s="5" t="s">
        <v>53</v>
      </c>
      <c r="G132" s="5" t="s">
        <v>16</v>
      </c>
      <c r="H132" s="5" t="s">
        <v>29</v>
      </c>
      <c r="I132" s="31">
        <v>0</v>
      </c>
      <c r="J132" s="31">
        <v>2124</v>
      </c>
      <c r="K132" s="6" t="str">
        <f t="shared" ref="K132:K195" si="5">IF(C132&gt;180,"180 &lt;= 360 DIAS",IF(C132&gt;90,"90 &lt;= 180 DIAS",IF(C132&gt;60,"60 &lt;= 90 DIAS",IF(C132&gt;30,"30 &lt;= 60 DIAS",IF(C132&gt;15,"15 &lt;= 30 DIAS","1-POR VENCER")))))</f>
        <v>180 &lt;= 360 DIAS</v>
      </c>
      <c r="L132" s="7" t="str">
        <f>_xlfn.CONCAT(TEXT(MONTH(DATA[[#This Row],[FECHA DE VENCIMIENTO]]),"00"),"-",TEXT(DATA[[#This Row],[FECHA DE VENCIMIENTO]],"MMM"))</f>
        <v>01-Ene</v>
      </c>
    </row>
    <row r="133" spans="1:12" hidden="1" x14ac:dyDescent="0.3">
      <c r="A133" s="3">
        <v>44620</v>
      </c>
      <c r="B133" s="3">
        <v>44225</v>
      </c>
      <c r="C133" s="4">
        <f t="shared" si="4"/>
        <v>685</v>
      </c>
      <c r="D133" s="5" t="s">
        <v>152</v>
      </c>
      <c r="E133" s="5">
        <v>20563755629</v>
      </c>
      <c r="F133" s="5" t="s">
        <v>25</v>
      </c>
      <c r="G133" s="5" t="s">
        <v>26</v>
      </c>
      <c r="H133" s="5" t="s">
        <v>7</v>
      </c>
      <c r="I133" s="31">
        <v>330.4</v>
      </c>
      <c r="J133" s="31">
        <v>0</v>
      </c>
      <c r="K133" s="6" t="str">
        <f t="shared" si="5"/>
        <v>180 &lt;= 360 DIAS</v>
      </c>
      <c r="L133" s="7" t="str">
        <f>_xlfn.CONCAT(TEXT(MONTH(DATA[[#This Row],[FECHA DE VENCIMIENTO]]),"00"),"-",TEXT(DATA[[#This Row],[FECHA DE VENCIMIENTO]],"MMM"))</f>
        <v>01-Ene</v>
      </c>
    </row>
    <row r="134" spans="1:12" hidden="1" x14ac:dyDescent="0.3">
      <c r="A134" s="3">
        <v>44620</v>
      </c>
      <c r="B134" s="3">
        <v>44225</v>
      </c>
      <c r="C134" s="4">
        <f t="shared" si="4"/>
        <v>685</v>
      </c>
      <c r="D134" s="5" t="s">
        <v>151</v>
      </c>
      <c r="E134" s="5">
        <v>20563755629</v>
      </c>
      <c r="F134" s="5" t="s">
        <v>25</v>
      </c>
      <c r="G134" s="5" t="s">
        <v>26</v>
      </c>
      <c r="H134" s="5" t="s">
        <v>7</v>
      </c>
      <c r="I134" s="31">
        <v>236</v>
      </c>
      <c r="J134" s="31">
        <v>0</v>
      </c>
      <c r="K134" s="6" t="str">
        <f t="shared" si="5"/>
        <v>180 &lt;= 360 DIAS</v>
      </c>
      <c r="L134" s="7" t="str">
        <f>_xlfn.CONCAT(TEXT(MONTH(DATA[[#This Row],[FECHA DE VENCIMIENTO]]),"00"),"-",TEXT(DATA[[#This Row],[FECHA DE VENCIMIENTO]],"MMM"))</f>
        <v>01-Ene</v>
      </c>
    </row>
    <row r="135" spans="1:12" hidden="1" x14ac:dyDescent="0.3">
      <c r="A135" s="3">
        <v>44620</v>
      </c>
      <c r="B135" s="3">
        <v>44225</v>
      </c>
      <c r="C135" s="4">
        <f t="shared" si="4"/>
        <v>685</v>
      </c>
      <c r="D135" s="5" t="s">
        <v>153</v>
      </c>
      <c r="E135" s="5">
        <v>20563755629</v>
      </c>
      <c r="F135" s="5" t="s">
        <v>25</v>
      </c>
      <c r="G135" s="5" t="s">
        <v>26</v>
      </c>
      <c r="H135" s="5" t="s">
        <v>7</v>
      </c>
      <c r="I135" s="31">
        <v>3365.42</v>
      </c>
      <c r="J135" s="31">
        <v>0</v>
      </c>
      <c r="K135" s="6" t="str">
        <f t="shared" si="5"/>
        <v>180 &lt;= 360 DIAS</v>
      </c>
      <c r="L135" s="7" t="str">
        <f>_xlfn.CONCAT(TEXT(MONTH(DATA[[#This Row],[FECHA DE VENCIMIENTO]]),"00"),"-",TEXT(DATA[[#This Row],[FECHA DE VENCIMIENTO]],"MMM"))</f>
        <v>01-Ene</v>
      </c>
    </row>
    <row r="136" spans="1:12" hidden="1" x14ac:dyDescent="0.3">
      <c r="A136" s="3">
        <v>44620</v>
      </c>
      <c r="B136" s="3">
        <v>44225</v>
      </c>
      <c r="C136" s="4">
        <f t="shared" si="4"/>
        <v>685</v>
      </c>
      <c r="D136" s="5" t="s">
        <v>150</v>
      </c>
      <c r="E136" s="5">
        <v>20563755629</v>
      </c>
      <c r="F136" s="5" t="s">
        <v>25</v>
      </c>
      <c r="G136" s="5" t="s">
        <v>26</v>
      </c>
      <c r="H136" s="5" t="s">
        <v>7</v>
      </c>
      <c r="I136" s="31">
        <v>141.6</v>
      </c>
      <c r="J136" s="31">
        <v>0</v>
      </c>
      <c r="K136" s="6" t="str">
        <f t="shared" si="5"/>
        <v>180 &lt;= 360 DIAS</v>
      </c>
      <c r="L136" s="7" t="str">
        <f>_xlfn.CONCAT(TEXT(MONTH(DATA[[#This Row],[FECHA DE VENCIMIENTO]]),"00"),"-",TEXT(DATA[[#This Row],[FECHA DE VENCIMIENTO]],"MMM"))</f>
        <v>01-Ene</v>
      </c>
    </row>
    <row r="137" spans="1:12" hidden="1" x14ac:dyDescent="0.3">
      <c r="A137" s="3">
        <v>44620</v>
      </c>
      <c r="B137" s="3">
        <v>44225</v>
      </c>
      <c r="C137" s="4">
        <f t="shared" si="4"/>
        <v>685</v>
      </c>
      <c r="D137" s="5" t="s">
        <v>149</v>
      </c>
      <c r="E137" s="5">
        <v>20563755629</v>
      </c>
      <c r="F137" s="5" t="s">
        <v>25</v>
      </c>
      <c r="G137" s="5" t="s">
        <v>26</v>
      </c>
      <c r="H137" s="5" t="s">
        <v>7</v>
      </c>
      <c r="I137" s="31">
        <v>141.6</v>
      </c>
      <c r="J137" s="31">
        <v>0</v>
      </c>
      <c r="K137" s="6" t="str">
        <f t="shared" si="5"/>
        <v>180 &lt;= 360 DIAS</v>
      </c>
      <c r="L137" s="7" t="str">
        <f>_xlfn.CONCAT(TEXT(MONTH(DATA[[#This Row],[FECHA DE VENCIMIENTO]]),"00"),"-",TEXT(DATA[[#This Row],[FECHA DE VENCIMIENTO]],"MMM"))</f>
        <v>01-Ene</v>
      </c>
    </row>
    <row r="138" spans="1:12" hidden="1" x14ac:dyDescent="0.3">
      <c r="A138" s="3">
        <v>44620</v>
      </c>
      <c r="B138" s="3">
        <v>44225</v>
      </c>
      <c r="C138" s="4">
        <f t="shared" si="4"/>
        <v>685</v>
      </c>
      <c r="D138" s="5" t="s">
        <v>148</v>
      </c>
      <c r="E138" s="5">
        <v>20563755629</v>
      </c>
      <c r="F138" s="5" t="s">
        <v>25</v>
      </c>
      <c r="G138" s="5" t="s">
        <v>26</v>
      </c>
      <c r="H138" s="5" t="s">
        <v>7</v>
      </c>
      <c r="I138" s="31">
        <v>141.6</v>
      </c>
      <c r="J138" s="31">
        <v>0</v>
      </c>
      <c r="K138" s="6" t="str">
        <f t="shared" si="5"/>
        <v>180 &lt;= 360 DIAS</v>
      </c>
      <c r="L138" s="7" t="str">
        <f>_xlfn.CONCAT(TEXT(MONTH(DATA[[#This Row],[FECHA DE VENCIMIENTO]]),"00"),"-",TEXT(DATA[[#This Row],[FECHA DE VENCIMIENTO]],"MMM"))</f>
        <v>01-Ene</v>
      </c>
    </row>
    <row r="139" spans="1:12" hidden="1" x14ac:dyDescent="0.3">
      <c r="A139" s="3">
        <v>44620</v>
      </c>
      <c r="B139" s="3">
        <v>44225</v>
      </c>
      <c r="C139" s="4">
        <f t="shared" si="4"/>
        <v>685</v>
      </c>
      <c r="D139" s="5" t="s">
        <v>147</v>
      </c>
      <c r="E139" s="5">
        <v>20563755629</v>
      </c>
      <c r="F139" s="5" t="s">
        <v>25</v>
      </c>
      <c r="G139" s="5" t="s">
        <v>26</v>
      </c>
      <c r="H139" s="5" t="s">
        <v>7</v>
      </c>
      <c r="I139" s="31">
        <v>141.6</v>
      </c>
      <c r="J139" s="31">
        <v>0</v>
      </c>
      <c r="K139" s="6" t="str">
        <f t="shared" si="5"/>
        <v>180 &lt;= 360 DIAS</v>
      </c>
      <c r="L139" s="7" t="str">
        <f>_xlfn.CONCAT(TEXT(MONTH(DATA[[#This Row],[FECHA DE VENCIMIENTO]]),"00"),"-",TEXT(DATA[[#This Row],[FECHA DE VENCIMIENTO]],"MMM"))</f>
        <v>01-Ene</v>
      </c>
    </row>
    <row r="140" spans="1:12" hidden="1" x14ac:dyDescent="0.3">
      <c r="A140" s="3">
        <v>44620</v>
      </c>
      <c r="B140" s="3">
        <v>44225</v>
      </c>
      <c r="C140" s="4">
        <f t="shared" si="4"/>
        <v>685</v>
      </c>
      <c r="D140" s="5" t="s">
        <v>145</v>
      </c>
      <c r="E140" s="5">
        <v>20563755629</v>
      </c>
      <c r="F140" s="5" t="s">
        <v>25</v>
      </c>
      <c r="G140" s="5" t="s">
        <v>26</v>
      </c>
      <c r="H140" s="5" t="s">
        <v>7</v>
      </c>
      <c r="I140" s="31">
        <v>141.6</v>
      </c>
      <c r="J140" s="31">
        <v>0</v>
      </c>
      <c r="K140" s="6" t="str">
        <f t="shared" si="5"/>
        <v>180 &lt;= 360 DIAS</v>
      </c>
      <c r="L140" s="7" t="str">
        <f>_xlfn.CONCAT(TEXT(MONTH(DATA[[#This Row],[FECHA DE VENCIMIENTO]]),"00"),"-",TEXT(DATA[[#This Row],[FECHA DE VENCIMIENTO]],"MMM"))</f>
        <v>01-Ene</v>
      </c>
    </row>
    <row r="141" spans="1:12" hidden="1" x14ac:dyDescent="0.3">
      <c r="A141" s="3">
        <v>44620</v>
      </c>
      <c r="B141" s="3">
        <v>44225</v>
      </c>
      <c r="C141" s="4">
        <f t="shared" si="4"/>
        <v>685</v>
      </c>
      <c r="D141" s="5" t="s">
        <v>146</v>
      </c>
      <c r="E141" s="5">
        <v>20563755629</v>
      </c>
      <c r="F141" s="5" t="s">
        <v>25</v>
      </c>
      <c r="G141" s="5" t="s">
        <v>26</v>
      </c>
      <c r="H141" s="5" t="s">
        <v>7</v>
      </c>
      <c r="I141" s="31">
        <v>141.6</v>
      </c>
      <c r="J141" s="31">
        <v>0</v>
      </c>
      <c r="K141" s="6" t="str">
        <f t="shared" si="5"/>
        <v>180 &lt;= 360 DIAS</v>
      </c>
      <c r="L141" s="7" t="str">
        <f>_xlfn.CONCAT(TEXT(MONTH(DATA[[#This Row],[FECHA DE VENCIMIENTO]]),"00"),"-",TEXT(DATA[[#This Row],[FECHA DE VENCIMIENTO]],"MMM"))</f>
        <v>01-Ene</v>
      </c>
    </row>
    <row r="142" spans="1:12" hidden="1" x14ac:dyDescent="0.3">
      <c r="A142" s="3">
        <v>44620</v>
      </c>
      <c r="B142" s="3">
        <v>44232</v>
      </c>
      <c r="C142" s="4">
        <f t="shared" si="4"/>
        <v>678</v>
      </c>
      <c r="D142" s="5" t="s">
        <v>154</v>
      </c>
      <c r="E142" s="5">
        <v>20547194340</v>
      </c>
      <c r="F142" s="5" t="s">
        <v>155</v>
      </c>
      <c r="G142" s="5" t="s">
        <v>16</v>
      </c>
      <c r="H142" s="5" t="s">
        <v>29</v>
      </c>
      <c r="I142" s="31">
        <v>0</v>
      </c>
      <c r="J142" s="31">
        <v>693.84</v>
      </c>
      <c r="K142" s="6" t="str">
        <f t="shared" si="5"/>
        <v>180 &lt;= 360 DIAS</v>
      </c>
      <c r="L142" s="7" t="str">
        <f>_xlfn.CONCAT(TEXT(MONTH(DATA[[#This Row],[FECHA DE VENCIMIENTO]]),"00"),"-",TEXT(DATA[[#This Row],[FECHA DE VENCIMIENTO]],"MMM"))</f>
        <v>02-Feb</v>
      </c>
    </row>
    <row r="143" spans="1:12" hidden="1" x14ac:dyDescent="0.3">
      <c r="A143" s="3">
        <v>44620</v>
      </c>
      <c r="B143" s="3">
        <v>44238</v>
      </c>
      <c r="C143" s="4">
        <f t="shared" si="4"/>
        <v>672</v>
      </c>
      <c r="D143" s="5" t="s">
        <v>156</v>
      </c>
      <c r="E143" s="5">
        <v>20392847155</v>
      </c>
      <c r="F143" s="5" t="s">
        <v>53</v>
      </c>
      <c r="G143" s="5" t="s">
        <v>16</v>
      </c>
      <c r="H143" s="5" t="s">
        <v>29</v>
      </c>
      <c r="I143" s="31">
        <v>0</v>
      </c>
      <c r="J143" s="31">
        <v>2046.73</v>
      </c>
      <c r="K143" s="6" t="str">
        <f t="shared" si="5"/>
        <v>180 &lt;= 360 DIAS</v>
      </c>
      <c r="L143" s="7" t="str">
        <f>_xlfn.CONCAT(TEXT(MONTH(DATA[[#This Row],[FECHA DE VENCIMIENTO]]),"00"),"-",TEXT(DATA[[#This Row],[FECHA DE VENCIMIENTO]],"MMM"))</f>
        <v>02-Feb</v>
      </c>
    </row>
    <row r="144" spans="1:12" hidden="1" x14ac:dyDescent="0.3">
      <c r="A144" s="3">
        <v>44620</v>
      </c>
      <c r="B144" s="3">
        <v>44248</v>
      </c>
      <c r="C144" s="4">
        <f t="shared" si="4"/>
        <v>662</v>
      </c>
      <c r="D144" s="5" t="s">
        <v>157</v>
      </c>
      <c r="E144" s="5">
        <v>20603890176</v>
      </c>
      <c r="F144" s="5" t="s">
        <v>158</v>
      </c>
      <c r="G144" s="5" t="s">
        <v>13</v>
      </c>
      <c r="H144" s="5" t="s">
        <v>29</v>
      </c>
      <c r="I144" s="31">
        <v>0</v>
      </c>
      <c r="J144" s="31">
        <v>3304</v>
      </c>
      <c r="K144" s="6" t="str">
        <f t="shared" si="5"/>
        <v>180 &lt;= 360 DIAS</v>
      </c>
      <c r="L144" s="7" t="str">
        <f>_xlfn.CONCAT(TEXT(MONTH(DATA[[#This Row],[FECHA DE VENCIMIENTO]]),"00"),"-",TEXT(DATA[[#This Row],[FECHA DE VENCIMIENTO]],"MMM"))</f>
        <v>02-Feb</v>
      </c>
    </row>
    <row r="145" spans="1:12" hidden="1" x14ac:dyDescent="0.3">
      <c r="A145" s="3">
        <v>44620</v>
      </c>
      <c r="B145" s="3">
        <v>44253</v>
      </c>
      <c r="C145" s="4">
        <f t="shared" si="4"/>
        <v>657</v>
      </c>
      <c r="D145" s="5" t="s">
        <v>159</v>
      </c>
      <c r="E145" s="5">
        <v>20392847155</v>
      </c>
      <c r="F145" s="5" t="s">
        <v>53</v>
      </c>
      <c r="G145" s="5" t="s">
        <v>16</v>
      </c>
      <c r="H145" s="5" t="s">
        <v>29</v>
      </c>
      <c r="I145" s="31">
        <v>0</v>
      </c>
      <c r="J145" s="31">
        <v>973.5</v>
      </c>
      <c r="K145" s="6" t="str">
        <f t="shared" si="5"/>
        <v>180 &lt;= 360 DIAS</v>
      </c>
      <c r="L145" s="7" t="str">
        <f>_xlfn.CONCAT(TEXT(MONTH(DATA[[#This Row],[FECHA DE VENCIMIENTO]]),"00"),"-",TEXT(DATA[[#This Row],[FECHA DE VENCIMIENTO]],"MMM"))</f>
        <v>02-Feb</v>
      </c>
    </row>
    <row r="146" spans="1:12" hidden="1" x14ac:dyDescent="0.3">
      <c r="A146" s="3">
        <v>44620</v>
      </c>
      <c r="B146" s="3">
        <v>44256</v>
      </c>
      <c r="C146" s="4">
        <f t="shared" si="4"/>
        <v>654</v>
      </c>
      <c r="D146" s="5" t="s">
        <v>162</v>
      </c>
      <c r="E146" s="5">
        <v>20468261082</v>
      </c>
      <c r="F146" s="5" t="s">
        <v>161</v>
      </c>
      <c r="G146" s="5" t="s">
        <v>26</v>
      </c>
      <c r="H146" s="5" t="s">
        <v>7</v>
      </c>
      <c r="I146" s="31">
        <v>230</v>
      </c>
      <c r="J146" s="31">
        <v>0</v>
      </c>
      <c r="K146" s="6" t="str">
        <f t="shared" si="5"/>
        <v>180 &lt;= 360 DIAS</v>
      </c>
      <c r="L146" s="7" t="str">
        <f>_xlfn.CONCAT(TEXT(MONTH(DATA[[#This Row],[FECHA DE VENCIMIENTO]]),"00"),"-",TEXT(DATA[[#This Row],[FECHA DE VENCIMIENTO]],"MMM"))</f>
        <v>03-Mar</v>
      </c>
    </row>
    <row r="147" spans="1:12" hidden="1" x14ac:dyDescent="0.3">
      <c r="A147" s="3">
        <v>44620</v>
      </c>
      <c r="B147" s="3">
        <v>44256</v>
      </c>
      <c r="C147" s="4">
        <f t="shared" si="4"/>
        <v>654</v>
      </c>
      <c r="D147" s="5" t="s">
        <v>160</v>
      </c>
      <c r="E147" s="5">
        <v>20468261082</v>
      </c>
      <c r="F147" s="5" t="s">
        <v>161</v>
      </c>
      <c r="G147" s="5" t="s">
        <v>26</v>
      </c>
      <c r="H147" s="5" t="s">
        <v>7</v>
      </c>
      <c r="I147" s="31">
        <v>330.4</v>
      </c>
      <c r="J147" s="31">
        <v>0</v>
      </c>
      <c r="K147" s="6" t="str">
        <f t="shared" si="5"/>
        <v>180 &lt;= 360 DIAS</v>
      </c>
      <c r="L147" s="7" t="str">
        <f>_xlfn.CONCAT(TEXT(MONTH(DATA[[#This Row],[FECHA DE VENCIMIENTO]]),"00"),"-",TEXT(DATA[[#This Row],[FECHA DE VENCIMIENTO]],"MMM"))</f>
        <v>03-Mar</v>
      </c>
    </row>
    <row r="148" spans="1:12" hidden="1" x14ac:dyDescent="0.3">
      <c r="A148" s="3">
        <v>44620</v>
      </c>
      <c r="B148" s="3">
        <v>44269</v>
      </c>
      <c r="C148" s="4">
        <f t="shared" si="4"/>
        <v>641</v>
      </c>
      <c r="D148" s="5" t="s">
        <v>163</v>
      </c>
      <c r="E148" s="5">
        <v>20392847155</v>
      </c>
      <c r="F148" s="5" t="s">
        <v>53</v>
      </c>
      <c r="G148" s="5" t="s">
        <v>16</v>
      </c>
      <c r="H148" s="5" t="s">
        <v>29</v>
      </c>
      <c r="I148" s="31">
        <v>0</v>
      </c>
      <c r="J148" s="31">
        <v>973.5</v>
      </c>
      <c r="K148" s="6" t="str">
        <f t="shared" si="5"/>
        <v>180 &lt;= 360 DIAS</v>
      </c>
      <c r="L148" s="7" t="str">
        <f>_xlfn.CONCAT(TEXT(MONTH(DATA[[#This Row],[FECHA DE VENCIMIENTO]]),"00"),"-",TEXT(DATA[[#This Row],[FECHA DE VENCIMIENTO]],"MMM"))</f>
        <v>03-Mar</v>
      </c>
    </row>
    <row r="149" spans="1:12" ht="31.2" hidden="1" x14ac:dyDescent="0.3">
      <c r="A149" s="3">
        <v>44620</v>
      </c>
      <c r="B149" s="3">
        <v>44279</v>
      </c>
      <c r="C149" s="4">
        <f t="shared" si="4"/>
        <v>631</v>
      </c>
      <c r="D149" s="5" t="s">
        <v>164</v>
      </c>
      <c r="E149" s="5">
        <v>20528195475</v>
      </c>
      <c r="F149" s="5" t="s">
        <v>130</v>
      </c>
      <c r="G149" s="5" t="s">
        <v>46</v>
      </c>
      <c r="H149" s="5" t="s">
        <v>29</v>
      </c>
      <c r="I149" s="31">
        <v>0</v>
      </c>
      <c r="J149" s="31">
        <v>2832</v>
      </c>
      <c r="K149" s="6" t="str">
        <f t="shared" si="5"/>
        <v>180 &lt;= 360 DIAS</v>
      </c>
      <c r="L149" s="7" t="str">
        <f>_xlfn.CONCAT(TEXT(MONTH(DATA[[#This Row],[FECHA DE VENCIMIENTO]]),"00"),"-",TEXT(DATA[[#This Row],[FECHA DE VENCIMIENTO]],"MMM"))</f>
        <v>03-Mar</v>
      </c>
    </row>
    <row r="150" spans="1:12" ht="31.2" hidden="1" x14ac:dyDescent="0.3">
      <c r="A150" s="3">
        <v>44620</v>
      </c>
      <c r="B150" s="3">
        <v>44289</v>
      </c>
      <c r="C150" s="4">
        <f t="shared" si="4"/>
        <v>621</v>
      </c>
      <c r="D150" s="5" t="s">
        <v>165</v>
      </c>
      <c r="E150" s="5">
        <v>20495190014</v>
      </c>
      <c r="F150" s="5" t="s">
        <v>48</v>
      </c>
      <c r="G150" s="5" t="s">
        <v>13</v>
      </c>
      <c r="H150" s="5" t="s">
        <v>7</v>
      </c>
      <c r="I150" s="31">
        <v>2271.5</v>
      </c>
      <c r="J150" s="31">
        <v>0</v>
      </c>
      <c r="K150" s="6" t="str">
        <f t="shared" si="5"/>
        <v>180 &lt;= 360 DIAS</v>
      </c>
      <c r="L150" s="7" t="str">
        <f>_xlfn.CONCAT(TEXT(MONTH(DATA[[#This Row],[FECHA DE VENCIMIENTO]]),"00"),"-",TEXT(DATA[[#This Row],[FECHA DE VENCIMIENTO]],"MMM"))</f>
        <v>04-Abr</v>
      </c>
    </row>
    <row r="151" spans="1:12" ht="31.2" hidden="1" x14ac:dyDescent="0.3">
      <c r="A151" s="3">
        <v>44620</v>
      </c>
      <c r="B151" s="3">
        <v>44289</v>
      </c>
      <c r="C151" s="4">
        <f t="shared" si="4"/>
        <v>621</v>
      </c>
      <c r="D151" s="5" t="s">
        <v>166</v>
      </c>
      <c r="E151" s="5">
        <v>20495190014</v>
      </c>
      <c r="F151" s="5" t="s">
        <v>48</v>
      </c>
      <c r="G151" s="5" t="s">
        <v>13</v>
      </c>
      <c r="H151" s="5" t="s">
        <v>29</v>
      </c>
      <c r="I151" s="31">
        <v>0</v>
      </c>
      <c r="J151" s="31">
        <v>283.2</v>
      </c>
      <c r="K151" s="6" t="str">
        <f t="shared" si="5"/>
        <v>180 &lt;= 360 DIAS</v>
      </c>
      <c r="L151" s="7" t="str">
        <f>_xlfn.CONCAT(TEXT(MONTH(DATA[[#This Row],[FECHA DE VENCIMIENTO]]),"00"),"-",TEXT(DATA[[#This Row],[FECHA DE VENCIMIENTO]],"MMM"))</f>
        <v>04-Abr</v>
      </c>
    </row>
    <row r="152" spans="1:12" hidden="1" x14ac:dyDescent="0.3">
      <c r="A152" s="3">
        <v>44620</v>
      </c>
      <c r="B152" s="3">
        <v>44300</v>
      </c>
      <c r="C152" s="4">
        <f t="shared" si="4"/>
        <v>610</v>
      </c>
      <c r="D152" s="5" t="s">
        <v>167</v>
      </c>
      <c r="E152" s="5">
        <v>20487627519</v>
      </c>
      <c r="F152" s="5" t="s">
        <v>168</v>
      </c>
      <c r="G152" s="5" t="s">
        <v>58</v>
      </c>
      <c r="H152" s="5" t="s">
        <v>29</v>
      </c>
      <c r="I152" s="31">
        <v>0</v>
      </c>
      <c r="J152" s="31">
        <v>673.77</v>
      </c>
      <c r="K152" s="6" t="str">
        <f t="shared" si="5"/>
        <v>180 &lt;= 360 DIAS</v>
      </c>
      <c r="L152" s="7" t="str">
        <f>_xlfn.CONCAT(TEXT(MONTH(DATA[[#This Row],[FECHA DE VENCIMIENTO]]),"00"),"-",TEXT(DATA[[#This Row],[FECHA DE VENCIMIENTO]],"MMM"))</f>
        <v>04-Abr</v>
      </c>
    </row>
    <row r="153" spans="1:12" ht="31.2" hidden="1" x14ac:dyDescent="0.3">
      <c r="A153" s="3">
        <v>44620</v>
      </c>
      <c r="B153" s="3">
        <v>44321</v>
      </c>
      <c r="C153" s="4">
        <f t="shared" si="4"/>
        <v>589</v>
      </c>
      <c r="D153" s="5" t="s">
        <v>169</v>
      </c>
      <c r="E153" s="5">
        <v>20528195475</v>
      </c>
      <c r="F153" s="5" t="s">
        <v>130</v>
      </c>
      <c r="G153" s="5" t="s">
        <v>46</v>
      </c>
      <c r="H153" s="5" t="s">
        <v>29</v>
      </c>
      <c r="I153" s="31">
        <v>0</v>
      </c>
      <c r="J153" s="31">
        <v>3568.32</v>
      </c>
      <c r="K153" s="6" t="str">
        <f t="shared" si="5"/>
        <v>180 &lt;= 360 DIAS</v>
      </c>
      <c r="L153" s="7" t="str">
        <f>_xlfn.CONCAT(TEXT(MONTH(DATA[[#This Row],[FECHA DE VENCIMIENTO]]),"00"),"-",TEXT(DATA[[#This Row],[FECHA DE VENCIMIENTO]],"MMM"))</f>
        <v>05-May</v>
      </c>
    </row>
    <row r="154" spans="1:12" hidden="1" x14ac:dyDescent="0.3">
      <c r="A154" s="3">
        <v>44620</v>
      </c>
      <c r="B154" s="3">
        <v>44324</v>
      </c>
      <c r="C154" s="4">
        <f t="shared" si="4"/>
        <v>586</v>
      </c>
      <c r="D154" s="5" t="s">
        <v>170</v>
      </c>
      <c r="E154" s="5">
        <v>20468261082</v>
      </c>
      <c r="F154" s="5" t="s">
        <v>161</v>
      </c>
      <c r="G154" s="5" t="s">
        <v>26</v>
      </c>
      <c r="H154" s="5" t="s">
        <v>7</v>
      </c>
      <c r="I154" s="31">
        <v>5515.1</v>
      </c>
      <c r="J154" s="31">
        <v>0</v>
      </c>
      <c r="K154" s="6" t="str">
        <f t="shared" si="5"/>
        <v>180 &lt;= 360 DIAS</v>
      </c>
      <c r="L154" s="7" t="str">
        <f>_xlfn.CONCAT(TEXT(MONTH(DATA[[#This Row],[FECHA DE VENCIMIENTO]]),"00"),"-",TEXT(DATA[[#This Row],[FECHA DE VENCIMIENTO]],"MMM"))</f>
        <v>05-May</v>
      </c>
    </row>
    <row r="155" spans="1:12" hidden="1" x14ac:dyDescent="0.3">
      <c r="A155" s="3">
        <v>44620</v>
      </c>
      <c r="B155" s="3">
        <v>44329</v>
      </c>
      <c r="C155" s="4">
        <f t="shared" si="4"/>
        <v>581</v>
      </c>
      <c r="D155" s="5" t="s">
        <v>171</v>
      </c>
      <c r="E155" s="5">
        <v>10422370124</v>
      </c>
      <c r="F155" s="5" t="s">
        <v>172</v>
      </c>
      <c r="G155" s="5" t="s">
        <v>33</v>
      </c>
      <c r="H155" s="5" t="s">
        <v>29</v>
      </c>
      <c r="I155" s="31">
        <v>0</v>
      </c>
      <c r="J155" s="31">
        <v>52.3</v>
      </c>
      <c r="K155" s="6" t="str">
        <f t="shared" si="5"/>
        <v>180 &lt;= 360 DIAS</v>
      </c>
      <c r="L155" s="7" t="str">
        <f>_xlfn.CONCAT(TEXT(MONTH(DATA[[#This Row],[FECHA DE VENCIMIENTO]]),"00"),"-",TEXT(DATA[[#This Row],[FECHA DE VENCIMIENTO]],"MMM"))</f>
        <v>05-May</v>
      </c>
    </row>
    <row r="156" spans="1:12" hidden="1" x14ac:dyDescent="0.3">
      <c r="A156" s="3">
        <v>44620</v>
      </c>
      <c r="B156" s="3">
        <v>44330</v>
      </c>
      <c r="C156" s="4">
        <f t="shared" si="4"/>
        <v>580</v>
      </c>
      <c r="D156" s="5" t="s">
        <v>173</v>
      </c>
      <c r="E156" s="5">
        <v>20606113758</v>
      </c>
      <c r="F156" s="5" t="s">
        <v>174</v>
      </c>
      <c r="G156" s="5" t="s">
        <v>13</v>
      </c>
      <c r="H156" s="5" t="s">
        <v>7</v>
      </c>
      <c r="I156" s="31">
        <v>3020.8</v>
      </c>
      <c r="J156" s="31">
        <v>0</v>
      </c>
      <c r="K156" s="6" t="str">
        <f t="shared" si="5"/>
        <v>180 &lt;= 360 DIAS</v>
      </c>
      <c r="L156" s="7" t="str">
        <f>_xlfn.CONCAT(TEXT(MONTH(DATA[[#This Row],[FECHA DE VENCIMIENTO]]),"00"),"-",TEXT(DATA[[#This Row],[FECHA DE VENCIMIENTO]],"MMM"))</f>
        <v>05-May</v>
      </c>
    </row>
    <row r="157" spans="1:12" hidden="1" x14ac:dyDescent="0.3">
      <c r="A157" s="3">
        <v>44620</v>
      </c>
      <c r="B157" s="3">
        <v>44335</v>
      </c>
      <c r="C157" s="4">
        <f t="shared" si="4"/>
        <v>575</v>
      </c>
      <c r="D157" s="5" t="s">
        <v>175</v>
      </c>
      <c r="E157" s="5">
        <v>10422370124</v>
      </c>
      <c r="F157" s="5" t="s">
        <v>172</v>
      </c>
      <c r="G157" s="5" t="s">
        <v>33</v>
      </c>
      <c r="H157" s="5" t="s">
        <v>29</v>
      </c>
      <c r="I157" s="31">
        <v>0</v>
      </c>
      <c r="J157" s="31">
        <v>307.98</v>
      </c>
      <c r="K157" s="6" t="str">
        <f t="shared" si="5"/>
        <v>180 &lt;= 360 DIAS</v>
      </c>
      <c r="L157" s="7" t="str">
        <f>_xlfn.CONCAT(TEXT(MONTH(DATA[[#This Row],[FECHA DE VENCIMIENTO]]),"00"),"-",TEXT(DATA[[#This Row],[FECHA DE VENCIMIENTO]],"MMM"))</f>
        <v>05-May</v>
      </c>
    </row>
    <row r="158" spans="1:12" hidden="1" x14ac:dyDescent="0.3">
      <c r="A158" s="3">
        <v>44620</v>
      </c>
      <c r="B158" s="3">
        <v>44352</v>
      </c>
      <c r="C158" s="4">
        <f t="shared" si="4"/>
        <v>558</v>
      </c>
      <c r="D158" s="5" t="s">
        <v>176</v>
      </c>
      <c r="E158" s="5">
        <v>20468261082</v>
      </c>
      <c r="F158" s="5" t="s">
        <v>161</v>
      </c>
      <c r="G158" s="5" t="s">
        <v>26</v>
      </c>
      <c r="H158" s="5" t="s">
        <v>7</v>
      </c>
      <c r="I158" s="31">
        <v>521.02</v>
      </c>
      <c r="J158" s="31">
        <v>0</v>
      </c>
      <c r="K158" s="6" t="str">
        <f t="shared" si="5"/>
        <v>180 &lt;= 360 DIAS</v>
      </c>
      <c r="L158" s="7" t="str">
        <f>_xlfn.CONCAT(TEXT(MONTH(DATA[[#This Row],[FECHA DE VENCIMIENTO]]),"00"),"-",TEXT(DATA[[#This Row],[FECHA DE VENCIMIENTO]],"MMM"))</f>
        <v>06-Jun</v>
      </c>
    </row>
    <row r="159" spans="1:12" hidden="1" x14ac:dyDescent="0.3">
      <c r="A159" s="3">
        <v>44620</v>
      </c>
      <c r="B159" s="3">
        <v>44359</v>
      </c>
      <c r="C159" s="4">
        <f t="shared" si="4"/>
        <v>551</v>
      </c>
      <c r="D159" s="5" t="s">
        <v>177</v>
      </c>
      <c r="E159" s="5">
        <v>20606449811</v>
      </c>
      <c r="F159" s="5" t="s">
        <v>178</v>
      </c>
      <c r="G159" s="5" t="s">
        <v>58</v>
      </c>
      <c r="H159" s="5" t="s">
        <v>7</v>
      </c>
      <c r="I159" s="31">
        <v>5448.8</v>
      </c>
      <c r="J159" s="31">
        <v>0</v>
      </c>
      <c r="K159" s="6" t="str">
        <f t="shared" si="5"/>
        <v>180 &lt;= 360 DIAS</v>
      </c>
      <c r="L159" s="7" t="str">
        <f>_xlfn.CONCAT(TEXT(MONTH(DATA[[#This Row],[FECHA DE VENCIMIENTO]]),"00"),"-",TEXT(DATA[[#This Row],[FECHA DE VENCIMIENTO]],"MMM"))</f>
        <v>06-Jun</v>
      </c>
    </row>
    <row r="160" spans="1:12" hidden="1" x14ac:dyDescent="0.3">
      <c r="A160" s="3">
        <v>44620</v>
      </c>
      <c r="B160" s="3">
        <v>44384</v>
      </c>
      <c r="C160" s="4">
        <f t="shared" si="4"/>
        <v>526</v>
      </c>
      <c r="D160" s="5" t="s">
        <v>179</v>
      </c>
      <c r="E160" s="5">
        <v>20603890176</v>
      </c>
      <c r="F160" s="5" t="s">
        <v>158</v>
      </c>
      <c r="G160" s="5" t="s">
        <v>13</v>
      </c>
      <c r="H160" s="5" t="s">
        <v>29</v>
      </c>
      <c r="I160" s="31">
        <v>0</v>
      </c>
      <c r="J160" s="31">
        <v>3776</v>
      </c>
      <c r="K160" s="6" t="str">
        <f t="shared" si="5"/>
        <v>180 &lt;= 360 DIAS</v>
      </c>
      <c r="L160" s="7" t="str">
        <f>_xlfn.CONCAT(TEXT(MONTH(DATA[[#This Row],[FECHA DE VENCIMIENTO]]),"00"),"-",TEXT(DATA[[#This Row],[FECHA DE VENCIMIENTO]],"MMM"))</f>
        <v>07-Jul</v>
      </c>
    </row>
    <row r="161" spans="1:12" hidden="1" x14ac:dyDescent="0.3">
      <c r="A161" s="3">
        <v>44620</v>
      </c>
      <c r="B161" s="3">
        <v>44385</v>
      </c>
      <c r="C161" s="4">
        <f t="shared" si="4"/>
        <v>525</v>
      </c>
      <c r="D161" s="5" t="s">
        <v>180</v>
      </c>
      <c r="E161" s="5">
        <v>20487438031</v>
      </c>
      <c r="F161" s="5" t="s">
        <v>181</v>
      </c>
      <c r="G161" s="5" t="s">
        <v>58</v>
      </c>
      <c r="H161" s="5" t="s">
        <v>7</v>
      </c>
      <c r="I161" s="31">
        <v>8212.7999999999993</v>
      </c>
      <c r="J161" s="31">
        <v>0</v>
      </c>
      <c r="K161" s="6" t="str">
        <f t="shared" si="5"/>
        <v>180 &lt;= 360 DIAS</v>
      </c>
      <c r="L161" s="7" t="str">
        <f>_xlfn.CONCAT(TEXT(MONTH(DATA[[#This Row],[FECHA DE VENCIMIENTO]]),"00"),"-",TEXT(DATA[[#This Row],[FECHA DE VENCIMIENTO]],"MMM"))</f>
        <v>07-Jul</v>
      </c>
    </row>
    <row r="162" spans="1:12" hidden="1" x14ac:dyDescent="0.3">
      <c r="A162" s="3">
        <v>44620</v>
      </c>
      <c r="B162" s="3">
        <v>44393</v>
      </c>
      <c r="C162" s="4">
        <f t="shared" si="4"/>
        <v>517</v>
      </c>
      <c r="D162" s="5" t="s">
        <v>182</v>
      </c>
      <c r="E162" s="5">
        <v>20603890176</v>
      </c>
      <c r="F162" s="5" t="s">
        <v>158</v>
      </c>
      <c r="G162" s="5" t="s">
        <v>13</v>
      </c>
      <c r="H162" s="5" t="s">
        <v>7</v>
      </c>
      <c r="I162" s="31">
        <v>17680.34</v>
      </c>
      <c r="J162" s="31">
        <v>0</v>
      </c>
      <c r="K162" s="6" t="str">
        <f t="shared" si="5"/>
        <v>180 &lt;= 360 DIAS</v>
      </c>
      <c r="L162" s="7" t="str">
        <f>_xlfn.CONCAT(TEXT(MONTH(DATA[[#This Row],[FECHA DE VENCIMIENTO]]),"00"),"-",TEXT(DATA[[#This Row],[FECHA DE VENCIMIENTO]],"MMM"))</f>
        <v>07-Jul</v>
      </c>
    </row>
    <row r="163" spans="1:12" hidden="1" x14ac:dyDescent="0.3">
      <c r="A163" s="3">
        <v>44620</v>
      </c>
      <c r="B163" s="3">
        <v>44394</v>
      </c>
      <c r="C163" s="4">
        <f t="shared" si="4"/>
        <v>516</v>
      </c>
      <c r="D163" s="5" t="s">
        <v>183</v>
      </c>
      <c r="E163" s="5">
        <v>10422370124</v>
      </c>
      <c r="F163" s="5" t="s">
        <v>172</v>
      </c>
      <c r="G163" s="5" t="s">
        <v>33</v>
      </c>
      <c r="H163" s="5" t="s">
        <v>29</v>
      </c>
      <c r="I163" s="31">
        <v>0</v>
      </c>
      <c r="J163" s="31">
        <v>307.98</v>
      </c>
      <c r="K163" s="6" t="str">
        <f t="shared" si="5"/>
        <v>180 &lt;= 360 DIAS</v>
      </c>
      <c r="L163" s="7" t="str">
        <f>_xlfn.CONCAT(TEXT(MONTH(DATA[[#This Row],[FECHA DE VENCIMIENTO]]),"00"),"-",TEXT(DATA[[#This Row],[FECHA DE VENCIMIENTO]],"MMM"))</f>
        <v>07-Jul</v>
      </c>
    </row>
    <row r="164" spans="1:12" hidden="1" x14ac:dyDescent="0.3">
      <c r="A164" s="3">
        <v>44620</v>
      </c>
      <c r="B164" s="3">
        <v>44407</v>
      </c>
      <c r="C164" s="4">
        <f t="shared" si="4"/>
        <v>503</v>
      </c>
      <c r="D164" s="5" t="s">
        <v>184</v>
      </c>
      <c r="E164" s="5">
        <v>20603890176</v>
      </c>
      <c r="F164" s="5" t="s">
        <v>158</v>
      </c>
      <c r="G164" s="5" t="s">
        <v>13</v>
      </c>
      <c r="H164" s="5" t="s">
        <v>7</v>
      </c>
      <c r="I164" s="31">
        <v>6702.1</v>
      </c>
      <c r="J164" s="31">
        <v>0</v>
      </c>
      <c r="K164" s="6" t="str">
        <f t="shared" si="5"/>
        <v>180 &lt;= 360 DIAS</v>
      </c>
      <c r="L164" s="7" t="str">
        <f>_xlfn.CONCAT(TEXT(MONTH(DATA[[#This Row],[FECHA DE VENCIMIENTO]]),"00"),"-",TEXT(DATA[[#This Row],[FECHA DE VENCIMIENTO]],"MMM"))</f>
        <v>07-Jul</v>
      </c>
    </row>
    <row r="165" spans="1:12" hidden="1" x14ac:dyDescent="0.3">
      <c r="A165" s="3">
        <v>44620</v>
      </c>
      <c r="B165" s="3">
        <v>44408</v>
      </c>
      <c r="C165" s="4">
        <f t="shared" si="4"/>
        <v>502</v>
      </c>
      <c r="D165" s="5" t="s">
        <v>185</v>
      </c>
      <c r="E165" s="5">
        <v>20603890176</v>
      </c>
      <c r="F165" s="5" t="s">
        <v>158</v>
      </c>
      <c r="G165" s="5" t="s">
        <v>13</v>
      </c>
      <c r="H165" s="5" t="s">
        <v>7</v>
      </c>
      <c r="I165" s="31">
        <v>11044.8</v>
      </c>
      <c r="J165" s="31">
        <v>0</v>
      </c>
      <c r="K165" s="6" t="str">
        <f t="shared" si="5"/>
        <v>180 &lt;= 360 DIAS</v>
      </c>
      <c r="L165" s="7" t="str">
        <f>_xlfn.CONCAT(TEXT(MONTH(DATA[[#This Row],[FECHA DE VENCIMIENTO]]),"00"),"-",TEXT(DATA[[#This Row],[FECHA DE VENCIMIENTO]],"MMM"))</f>
        <v>07-Jul</v>
      </c>
    </row>
    <row r="166" spans="1:12" hidden="1" x14ac:dyDescent="0.3">
      <c r="A166" s="3">
        <v>44620</v>
      </c>
      <c r="B166" s="3">
        <v>44421</v>
      </c>
      <c r="C166" s="4">
        <f t="shared" si="4"/>
        <v>489</v>
      </c>
      <c r="D166" s="5" t="s">
        <v>186</v>
      </c>
      <c r="E166" s="5">
        <v>20603890176</v>
      </c>
      <c r="F166" s="5" t="s">
        <v>158</v>
      </c>
      <c r="G166" s="5" t="s">
        <v>13</v>
      </c>
      <c r="H166" s="5" t="s">
        <v>7</v>
      </c>
      <c r="I166" s="31">
        <v>795.04</v>
      </c>
      <c r="J166" s="31">
        <v>0</v>
      </c>
      <c r="K166" s="6" t="str">
        <f t="shared" si="5"/>
        <v>180 &lt;= 360 DIAS</v>
      </c>
      <c r="L166" s="7" t="str">
        <f>_xlfn.CONCAT(TEXT(MONTH(DATA[[#This Row],[FECHA DE VENCIMIENTO]]),"00"),"-",TEXT(DATA[[#This Row],[FECHA DE VENCIMIENTO]],"MMM"))</f>
        <v>08-Ago</v>
      </c>
    </row>
    <row r="167" spans="1:12" hidden="1" x14ac:dyDescent="0.3">
      <c r="A167" s="3">
        <v>44620</v>
      </c>
      <c r="B167" s="3">
        <v>44422</v>
      </c>
      <c r="C167" s="4">
        <f t="shared" si="4"/>
        <v>488</v>
      </c>
      <c r="D167" s="5" t="s">
        <v>187</v>
      </c>
      <c r="E167" s="5">
        <v>20603890176</v>
      </c>
      <c r="F167" s="5" t="s">
        <v>158</v>
      </c>
      <c r="G167" s="5" t="s">
        <v>13</v>
      </c>
      <c r="H167" s="5" t="s">
        <v>7</v>
      </c>
      <c r="I167" s="31">
        <v>12149.28</v>
      </c>
      <c r="J167" s="31">
        <v>0</v>
      </c>
      <c r="K167" s="6" t="str">
        <f t="shared" si="5"/>
        <v>180 &lt;= 360 DIAS</v>
      </c>
      <c r="L167" s="7" t="str">
        <f>_xlfn.CONCAT(TEXT(MONTH(DATA[[#This Row],[FECHA DE VENCIMIENTO]]),"00"),"-",TEXT(DATA[[#This Row],[FECHA DE VENCIMIENTO]],"MMM"))</f>
        <v>08-Ago</v>
      </c>
    </row>
    <row r="168" spans="1:12" hidden="1" x14ac:dyDescent="0.3">
      <c r="A168" s="3">
        <v>44620</v>
      </c>
      <c r="B168" s="3">
        <v>44428</v>
      </c>
      <c r="C168" s="4">
        <f t="shared" si="4"/>
        <v>482</v>
      </c>
      <c r="D168" s="5" t="s">
        <v>188</v>
      </c>
      <c r="E168" s="5">
        <v>20535118303</v>
      </c>
      <c r="F168" s="5" t="s">
        <v>189</v>
      </c>
      <c r="G168" s="5" t="s">
        <v>13</v>
      </c>
      <c r="H168" s="5" t="s">
        <v>7</v>
      </c>
      <c r="I168" s="31">
        <v>227.88</v>
      </c>
      <c r="J168" s="31">
        <v>0</v>
      </c>
      <c r="K168" s="6" t="str">
        <f t="shared" si="5"/>
        <v>180 &lt;= 360 DIAS</v>
      </c>
      <c r="L168" s="7" t="str">
        <f>_xlfn.CONCAT(TEXT(MONTH(DATA[[#This Row],[FECHA DE VENCIMIENTO]]),"00"),"-",TEXT(DATA[[#This Row],[FECHA DE VENCIMIENTO]],"MMM"))</f>
        <v>08-Ago</v>
      </c>
    </row>
    <row r="169" spans="1:12" hidden="1" x14ac:dyDescent="0.3">
      <c r="A169" s="3">
        <v>44620</v>
      </c>
      <c r="B169" s="3">
        <v>44429</v>
      </c>
      <c r="C169" s="4">
        <f t="shared" si="4"/>
        <v>481</v>
      </c>
      <c r="D169" s="5" t="s">
        <v>190</v>
      </c>
      <c r="E169" s="5">
        <v>20603890176</v>
      </c>
      <c r="F169" s="5" t="s">
        <v>158</v>
      </c>
      <c r="G169" s="5" t="s">
        <v>13</v>
      </c>
      <c r="H169" s="5" t="s">
        <v>7</v>
      </c>
      <c r="I169" s="31">
        <v>11044.8</v>
      </c>
      <c r="J169" s="31">
        <v>0</v>
      </c>
      <c r="K169" s="6" t="str">
        <f t="shared" si="5"/>
        <v>180 &lt;= 360 DIAS</v>
      </c>
      <c r="L169" s="7" t="str">
        <f>_xlfn.CONCAT(TEXT(MONTH(DATA[[#This Row],[FECHA DE VENCIMIENTO]]),"00"),"-",TEXT(DATA[[#This Row],[FECHA DE VENCIMIENTO]],"MMM"))</f>
        <v>08-Ago</v>
      </c>
    </row>
    <row r="170" spans="1:12" ht="31.2" hidden="1" x14ac:dyDescent="0.3">
      <c r="A170" s="3">
        <v>44620</v>
      </c>
      <c r="B170" s="3">
        <v>44432</v>
      </c>
      <c r="C170" s="4">
        <f t="shared" si="4"/>
        <v>478</v>
      </c>
      <c r="D170" s="5" t="s">
        <v>191</v>
      </c>
      <c r="E170" s="5">
        <v>20528195475</v>
      </c>
      <c r="F170" s="5" t="s">
        <v>130</v>
      </c>
      <c r="G170" s="5" t="s">
        <v>46</v>
      </c>
      <c r="H170" s="5" t="s">
        <v>7</v>
      </c>
      <c r="I170" s="31">
        <v>1124.73</v>
      </c>
      <c r="J170" s="31">
        <v>0</v>
      </c>
      <c r="K170" s="6" t="str">
        <f t="shared" si="5"/>
        <v>180 &lt;= 360 DIAS</v>
      </c>
      <c r="L170" s="7" t="str">
        <f>_xlfn.CONCAT(TEXT(MONTH(DATA[[#This Row],[FECHA DE VENCIMIENTO]]),"00"),"-",TEXT(DATA[[#This Row],[FECHA DE VENCIMIENTO]],"MMM"))</f>
        <v>08-Ago</v>
      </c>
    </row>
    <row r="171" spans="1:12" hidden="1" x14ac:dyDescent="0.3">
      <c r="A171" s="3">
        <v>44620</v>
      </c>
      <c r="B171" s="3">
        <v>44434</v>
      </c>
      <c r="C171" s="4">
        <f t="shared" si="4"/>
        <v>476</v>
      </c>
      <c r="D171" s="5" t="s">
        <v>193</v>
      </c>
      <c r="E171" s="5">
        <v>20603890176</v>
      </c>
      <c r="F171" s="5" t="s">
        <v>158</v>
      </c>
      <c r="G171" s="5" t="s">
        <v>13</v>
      </c>
      <c r="H171" s="5" t="s">
        <v>29</v>
      </c>
      <c r="I171" s="31">
        <v>0</v>
      </c>
      <c r="J171" s="31">
        <v>3776</v>
      </c>
      <c r="K171" s="6" t="str">
        <f t="shared" si="5"/>
        <v>180 &lt;= 360 DIAS</v>
      </c>
      <c r="L171" s="7" t="str">
        <f>_xlfn.CONCAT(TEXT(MONTH(DATA[[#This Row],[FECHA DE VENCIMIENTO]]),"00"),"-",TEXT(DATA[[#This Row],[FECHA DE VENCIMIENTO]],"MMM"))</f>
        <v>08-Ago</v>
      </c>
    </row>
    <row r="172" spans="1:12" hidden="1" x14ac:dyDescent="0.3">
      <c r="A172" s="3">
        <v>44620</v>
      </c>
      <c r="B172" s="3">
        <v>44434</v>
      </c>
      <c r="C172" s="4">
        <f t="shared" si="4"/>
        <v>476</v>
      </c>
      <c r="D172" s="5" t="s">
        <v>192</v>
      </c>
      <c r="E172" s="5">
        <v>20535118303</v>
      </c>
      <c r="F172" s="5" t="s">
        <v>189</v>
      </c>
      <c r="G172" s="5" t="s">
        <v>13</v>
      </c>
      <c r="H172" s="5" t="s">
        <v>7</v>
      </c>
      <c r="I172" s="31">
        <v>1888</v>
      </c>
      <c r="J172" s="31">
        <v>0</v>
      </c>
      <c r="K172" s="6" t="str">
        <f t="shared" si="5"/>
        <v>180 &lt;= 360 DIAS</v>
      </c>
      <c r="L172" s="7" t="str">
        <f>_xlfn.CONCAT(TEXT(MONTH(DATA[[#This Row],[FECHA DE VENCIMIENTO]]),"00"),"-",TEXT(DATA[[#This Row],[FECHA DE VENCIMIENTO]],"MMM"))</f>
        <v>08-Ago</v>
      </c>
    </row>
    <row r="173" spans="1:12" ht="31.2" hidden="1" x14ac:dyDescent="0.3">
      <c r="A173" s="3">
        <v>44620</v>
      </c>
      <c r="B173" s="3">
        <v>44442</v>
      </c>
      <c r="C173" s="4">
        <f t="shared" si="4"/>
        <v>468</v>
      </c>
      <c r="D173" s="5" t="s">
        <v>194</v>
      </c>
      <c r="E173" s="5">
        <v>20528195475</v>
      </c>
      <c r="F173" s="5" t="s">
        <v>130</v>
      </c>
      <c r="G173" s="5" t="s">
        <v>46</v>
      </c>
      <c r="H173" s="5" t="s">
        <v>7</v>
      </c>
      <c r="I173" s="31">
        <v>1014.21</v>
      </c>
      <c r="J173" s="31">
        <v>0</v>
      </c>
      <c r="K173" s="6" t="str">
        <f t="shared" si="5"/>
        <v>180 &lt;= 360 DIAS</v>
      </c>
      <c r="L173" s="7" t="str">
        <f>_xlfn.CONCAT(TEXT(MONTH(DATA[[#This Row],[FECHA DE VENCIMIENTO]]),"00"),"-",TEXT(DATA[[#This Row],[FECHA DE VENCIMIENTO]],"MMM"))</f>
        <v>09-Set</v>
      </c>
    </row>
    <row r="174" spans="1:12" hidden="1" x14ac:dyDescent="0.3">
      <c r="A174" s="3">
        <v>44620</v>
      </c>
      <c r="B174" s="3">
        <v>44445</v>
      </c>
      <c r="C174" s="4">
        <f t="shared" si="4"/>
        <v>465</v>
      </c>
      <c r="D174" s="5" t="s">
        <v>195</v>
      </c>
      <c r="E174" s="5">
        <v>20557340034</v>
      </c>
      <c r="F174" s="5" t="s">
        <v>196</v>
      </c>
      <c r="G174" s="5" t="s">
        <v>13</v>
      </c>
      <c r="H174" s="5" t="s">
        <v>7</v>
      </c>
      <c r="I174" s="31">
        <v>9912</v>
      </c>
      <c r="J174" s="31">
        <v>0</v>
      </c>
      <c r="K174" s="6" t="str">
        <f t="shared" si="5"/>
        <v>180 &lt;= 360 DIAS</v>
      </c>
      <c r="L174" s="7" t="str">
        <f>_xlfn.CONCAT(TEXT(MONTH(DATA[[#This Row],[FECHA DE VENCIMIENTO]]),"00"),"-",TEXT(DATA[[#This Row],[FECHA DE VENCIMIENTO]],"MMM"))</f>
        <v>09-Set</v>
      </c>
    </row>
    <row r="175" spans="1:12" hidden="1" x14ac:dyDescent="0.3">
      <c r="A175" s="3">
        <v>44620</v>
      </c>
      <c r="B175" s="3">
        <v>44449</v>
      </c>
      <c r="C175" s="4">
        <f t="shared" si="4"/>
        <v>461</v>
      </c>
      <c r="D175" s="5" t="s">
        <v>199</v>
      </c>
      <c r="E175" s="5">
        <v>20603890176</v>
      </c>
      <c r="F175" s="5" t="s">
        <v>158</v>
      </c>
      <c r="G175" s="5" t="s">
        <v>13</v>
      </c>
      <c r="H175" s="5" t="s">
        <v>29</v>
      </c>
      <c r="I175" s="31">
        <v>0</v>
      </c>
      <c r="J175" s="31">
        <v>182.31</v>
      </c>
      <c r="K175" s="6" t="str">
        <f t="shared" si="5"/>
        <v>180 &lt;= 360 DIAS</v>
      </c>
      <c r="L175" s="7" t="str">
        <f>_xlfn.CONCAT(TEXT(MONTH(DATA[[#This Row],[FECHA DE VENCIMIENTO]]),"00"),"-",TEXT(DATA[[#This Row],[FECHA DE VENCIMIENTO]],"MMM"))</f>
        <v>09-Set</v>
      </c>
    </row>
    <row r="176" spans="1:12" ht="31.2" hidden="1" x14ac:dyDescent="0.3">
      <c r="A176" s="3">
        <v>44620</v>
      </c>
      <c r="B176" s="3">
        <v>44449</v>
      </c>
      <c r="C176" s="4">
        <f t="shared" si="4"/>
        <v>461</v>
      </c>
      <c r="D176" s="5" t="s">
        <v>197</v>
      </c>
      <c r="E176" s="5">
        <v>20514793353</v>
      </c>
      <c r="F176" s="5" t="s">
        <v>198</v>
      </c>
      <c r="G176" s="5" t="s">
        <v>46</v>
      </c>
      <c r="H176" s="5" t="s">
        <v>7</v>
      </c>
      <c r="I176" s="31">
        <v>615.54</v>
      </c>
      <c r="J176" s="31">
        <v>0</v>
      </c>
      <c r="K176" s="6" t="str">
        <f t="shared" si="5"/>
        <v>180 &lt;= 360 DIAS</v>
      </c>
      <c r="L176" s="7" t="str">
        <f>_xlfn.CONCAT(TEXT(MONTH(DATA[[#This Row],[FECHA DE VENCIMIENTO]]),"00"),"-",TEXT(DATA[[#This Row],[FECHA DE VENCIMIENTO]],"MMM"))</f>
        <v>09-Set</v>
      </c>
    </row>
    <row r="177" spans="1:12" ht="31.2" hidden="1" x14ac:dyDescent="0.3">
      <c r="A177" s="3">
        <v>44620</v>
      </c>
      <c r="B177" s="3">
        <v>44463</v>
      </c>
      <c r="C177" s="4">
        <f t="shared" si="4"/>
        <v>447</v>
      </c>
      <c r="D177" s="5" t="s">
        <v>200</v>
      </c>
      <c r="E177" s="5">
        <v>20514793353</v>
      </c>
      <c r="F177" s="5" t="s">
        <v>198</v>
      </c>
      <c r="G177" s="5" t="s">
        <v>46</v>
      </c>
      <c r="H177" s="5" t="s">
        <v>7</v>
      </c>
      <c r="I177" s="31">
        <v>1017.75</v>
      </c>
      <c r="J177" s="31">
        <v>0</v>
      </c>
      <c r="K177" s="6" t="str">
        <f t="shared" si="5"/>
        <v>180 &lt;= 360 DIAS</v>
      </c>
      <c r="L177" s="7" t="str">
        <f>_xlfn.CONCAT(TEXT(MONTH(DATA[[#This Row],[FECHA DE VENCIMIENTO]]),"00"),"-",TEXT(DATA[[#This Row],[FECHA DE VENCIMIENTO]],"MMM"))</f>
        <v>09-Set</v>
      </c>
    </row>
    <row r="178" spans="1:12" ht="31.2" hidden="1" x14ac:dyDescent="0.3">
      <c r="A178" s="3">
        <v>44620</v>
      </c>
      <c r="B178" s="3">
        <v>44470</v>
      </c>
      <c r="C178" s="4">
        <f t="shared" si="4"/>
        <v>440</v>
      </c>
      <c r="D178" s="5" t="s">
        <v>201</v>
      </c>
      <c r="E178" s="5">
        <v>20514793353</v>
      </c>
      <c r="F178" s="5" t="s">
        <v>198</v>
      </c>
      <c r="G178" s="5" t="s">
        <v>46</v>
      </c>
      <c r="H178" s="5" t="s">
        <v>7</v>
      </c>
      <c r="I178" s="31">
        <v>1017.75</v>
      </c>
      <c r="J178" s="31">
        <v>0</v>
      </c>
      <c r="K178" s="6" t="str">
        <f t="shared" si="5"/>
        <v>180 &lt;= 360 DIAS</v>
      </c>
      <c r="L178" s="7" t="str">
        <f>_xlfn.CONCAT(TEXT(MONTH(DATA[[#This Row],[FECHA DE VENCIMIENTO]]),"00"),"-",TEXT(DATA[[#This Row],[FECHA DE VENCIMIENTO]],"MMM"))</f>
        <v>10-Oct</v>
      </c>
    </row>
    <row r="179" spans="1:12" hidden="1" x14ac:dyDescent="0.3">
      <c r="A179" s="3">
        <v>44620</v>
      </c>
      <c r="B179" s="3">
        <v>44472</v>
      </c>
      <c r="C179" s="4">
        <f t="shared" si="4"/>
        <v>438</v>
      </c>
      <c r="D179" s="5" t="s">
        <v>202</v>
      </c>
      <c r="E179" s="5">
        <v>20557340034</v>
      </c>
      <c r="F179" s="5" t="s">
        <v>196</v>
      </c>
      <c r="G179" s="5" t="s">
        <v>13</v>
      </c>
      <c r="H179" s="5" t="s">
        <v>29</v>
      </c>
      <c r="I179" s="31">
        <v>0</v>
      </c>
      <c r="J179" s="31">
        <v>329.22</v>
      </c>
      <c r="K179" s="6" t="str">
        <f t="shared" si="5"/>
        <v>180 &lt;= 360 DIAS</v>
      </c>
      <c r="L179" s="7" t="str">
        <f>_xlfn.CONCAT(TEXT(MONTH(DATA[[#This Row],[FECHA DE VENCIMIENTO]]),"00"),"-",TEXT(DATA[[#This Row],[FECHA DE VENCIMIENTO]],"MMM"))</f>
        <v>10-Oct</v>
      </c>
    </row>
    <row r="180" spans="1:12" ht="31.2" hidden="1" x14ac:dyDescent="0.3">
      <c r="A180" s="3">
        <v>44620</v>
      </c>
      <c r="B180" s="3">
        <v>44477</v>
      </c>
      <c r="C180" s="4">
        <f t="shared" si="4"/>
        <v>433</v>
      </c>
      <c r="D180" s="5" t="s">
        <v>203</v>
      </c>
      <c r="E180" s="5">
        <v>20514793353</v>
      </c>
      <c r="F180" s="5" t="s">
        <v>198</v>
      </c>
      <c r="G180" s="5" t="s">
        <v>46</v>
      </c>
      <c r="H180" s="5" t="s">
        <v>7</v>
      </c>
      <c r="I180" s="31">
        <v>1017.75</v>
      </c>
      <c r="J180" s="31">
        <v>0</v>
      </c>
      <c r="K180" s="6" t="str">
        <f t="shared" si="5"/>
        <v>180 &lt;= 360 DIAS</v>
      </c>
      <c r="L180" s="7" t="str">
        <f>_xlfn.CONCAT(TEXT(MONTH(DATA[[#This Row],[FECHA DE VENCIMIENTO]]),"00"),"-",TEXT(DATA[[#This Row],[FECHA DE VENCIMIENTO]],"MMM"))</f>
        <v>10-Oct</v>
      </c>
    </row>
    <row r="181" spans="1:12" ht="31.2" hidden="1" x14ac:dyDescent="0.3">
      <c r="A181" s="3">
        <v>44620</v>
      </c>
      <c r="B181" s="3">
        <v>44493</v>
      </c>
      <c r="C181" s="4">
        <f t="shared" si="4"/>
        <v>417</v>
      </c>
      <c r="D181" s="5" t="s">
        <v>205</v>
      </c>
      <c r="E181" s="5">
        <v>20514793353</v>
      </c>
      <c r="F181" s="5" t="s">
        <v>198</v>
      </c>
      <c r="G181" s="5" t="s">
        <v>46</v>
      </c>
      <c r="H181" s="5" t="s">
        <v>7</v>
      </c>
      <c r="I181" s="31">
        <v>11748.58</v>
      </c>
      <c r="J181" s="31">
        <v>0</v>
      </c>
      <c r="K181" s="6" t="str">
        <f t="shared" si="5"/>
        <v>180 &lt;= 360 DIAS</v>
      </c>
      <c r="L181" s="7" t="str">
        <f>_xlfn.CONCAT(TEXT(MONTH(DATA[[#This Row],[FECHA DE VENCIMIENTO]]),"00"),"-",TEXT(DATA[[#This Row],[FECHA DE VENCIMIENTO]],"MMM"))</f>
        <v>10-Oct</v>
      </c>
    </row>
    <row r="182" spans="1:12" hidden="1" x14ac:dyDescent="0.3">
      <c r="A182" s="3">
        <v>44620</v>
      </c>
      <c r="B182" s="3">
        <v>44493</v>
      </c>
      <c r="C182" s="4">
        <f t="shared" si="4"/>
        <v>417</v>
      </c>
      <c r="D182" s="5" t="s">
        <v>206</v>
      </c>
      <c r="E182" s="5">
        <v>20557340034</v>
      </c>
      <c r="F182" s="5" t="s">
        <v>196</v>
      </c>
      <c r="G182" s="5" t="s">
        <v>13</v>
      </c>
      <c r="H182" s="5" t="s">
        <v>29</v>
      </c>
      <c r="I182" s="31">
        <v>0</v>
      </c>
      <c r="J182" s="31">
        <v>329.22</v>
      </c>
      <c r="K182" s="6" t="str">
        <f t="shared" si="5"/>
        <v>180 &lt;= 360 DIAS</v>
      </c>
      <c r="L182" s="7" t="str">
        <f>_xlfn.CONCAT(TEXT(MONTH(DATA[[#This Row],[FECHA DE VENCIMIENTO]]),"00"),"-",TEXT(DATA[[#This Row],[FECHA DE VENCIMIENTO]],"MMM"))</f>
        <v>10-Oct</v>
      </c>
    </row>
    <row r="183" spans="1:12" hidden="1" x14ac:dyDescent="0.3">
      <c r="A183" s="3">
        <v>44620</v>
      </c>
      <c r="B183" s="3">
        <v>44498</v>
      </c>
      <c r="C183" s="4">
        <f t="shared" si="4"/>
        <v>412</v>
      </c>
      <c r="D183" s="5" t="s">
        <v>207</v>
      </c>
      <c r="E183" s="5">
        <v>20468261082</v>
      </c>
      <c r="F183" s="5" t="s">
        <v>161</v>
      </c>
      <c r="G183" s="5" t="s">
        <v>26</v>
      </c>
      <c r="H183" s="5" t="s">
        <v>29</v>
      </c>
      <c r="I183" s="31">
        <v>0</v>
      </c>
      <c r="J183" s="31">
        <v>29.5</v>
      </c>
      <c r="K183" s="6" t="str">
        <f t="shared" si="5"/>
        <v>180 &lt;= 360 DIAS</v>
      </c>
      <c r="L183" s="7" t="str">
        <f>_xlfn.CONCAT(TEXT(MONTH(DATA[[#This Row],[FECHA DE VENCIMIENTO]]),"00"),"-",TEXT(DATA[[#This Row],[FECHA DE VENCIMIENTO]],"MMM"))</f>
        <v>10-Oct</v>
      </c>
    </row>
    <row r="184" spans="1:12" hidden="1" x14ac:dyDescent="0.3">
      <c r="A184" s="3">
        <v>44620</v>
      </c>
      <c r="B184" s="3">
        <v>44499</v>
      </c>
      <c r="C184" s="4">
        <f t="shared" si="4"/>
        <v>411</v>
      </c>
      <c r="D184" s="5" t="s">
        <v>208</v>
      </c>
      <c r="E184" s="5">
        <v>20468261082</v>
      </c>
      <c r="F184" s="5" t="s">
        <v>161</v>
      </c>
      <c r="G184" s="5" t="s">
        <v>26</v>
      </c>
      <c r="H184" s="5" t="s">
        <v>7</v>
      </c>
      <c r="I184" s="31">
        <v>188.8</v>
      </c>
      <c r="J184" s="31">
        <v>0</v>
      </c>
      <c r="K184" s="6" t="str">
        <f t="shared" si="5"/>
        <v>180 &lt;= 360 DIAS</v>
      </c>
      <c r="L184" s="7" t="str">
        <f>_xlfn.CONCAT(TEXT(MONTH(DATA[[#This Row],[FECHA DE VENCIMIENTO]]),"00"),"-",TEXT(DATA[[#This Row],[FECHA DE VENCIMIENTO]],"MMM"))</f>
        <v>10-Oct</v>
      </c>
    </row>
    <row r="185" spans="1:12" hidden="1" x14ac:dyDescent="0.3">
      <c r="A185" s="3">
        <v>44620</v>
      </c>
      <c r="B185" s="3">
        <v>44499</v>
      </c>
      <c r="C185" s="4">
        <f t="shared" si="4"/>
        <v>411</v>
      </c>
      <c r="D185" s="5" t="s">
        <v>209</v>
      </c>
      <c r="E185" s="5">
        <v>20468261082</v>
      </c>
      <c r="F185" s="5" t="s">
        <v>161</v>
      </c>
      <c r="G185" s="5" t="s">
        <v>26</v>
      </c>
      <c r="H185" s="5" t="s">
        <v>7</v>
      </c>
      <c r="I185" s="31">
        <v>188.8</v>
      </c>
      <c r="J185" s="31">
        <v>0</v>
      </c>
      <c r="K185" s="6" t="str">
        <f t="shared" si="5"/>
        <v>180 &lt;= 360 DIAS</v>
      </c>
      <c r="L185" s="7" t="str">
        <f>_xlfn.CONCAT(TEXT(MONTH(DATA[[#This Row],[FECHA DE VENCIMIENTO]]),"00"),"-",TEXT(DATA[[#This Row],[FECHA DE VENCIMIENTO]],"MMM"))</f>
        <v>10-Oct</v>
      </c>
    </row>
    <row r="186" spans="1:12" hidden="1" x14ac:dyDescent="0.3">
      <c r="A186" s="3">
        <v>44620</v>
      </c>
      <c r="B186" s="3">
        <v>44499</v>
      </c>
      <c r="C186" s="4">
        <f t="shared" si="4"/>
        <v>411</v>
      </c>
      <c r="D186" s="5" t="s">
        <v>210</v>
      </c>
      <c r="E186" s="5">
        <v>20468261082</v>
      </c>
      <c r="F186" s="5" t="s">
        <v>161</v>
      </c>
      <c r="G186" s="5" t="s">
        <v>26</v>
      </c>
      <c r="H186" s="5" t="s">
        <v>7</v>
      </c>
      <c r="I186" s="31">
        <v>188.8</v>
      </c>
      <c r="J186" s="31">
        <v>0</v>
      </c>
      <c r="K186" s="6" t="str">
        <f t="shared" si="5"/>
        <v>180 &lt;= 360 DIAS</v>
      </c>
      <c r="L186" s="7" t="str">
        <f>_xlfn.CONCAT(TEXT(MONTH(DATA[[#This Row],[FECHA DE VENCIMIENTO]]),"00"),"-",TEXT(DATA[[#This Row],[FECHA DE VENCIMIENTO]],"MMM"))</f>
        <v>10-Oct</v>
      </c>
    </row>
    <row r="187" spans="1:12" hidden="1" x14ac:dyDescent="0.3">
      <c r="A187" s="3">
        <v>44620</v>
      </c>
      <c r="B187" s="3">
        <v>44499</v>
      </c>
      <c r="C187" s="4">
        <f t="shared" si="4"/>
        <v>411</v>
      </c>
      <c r="D187" s="5" t="s">
        <v>212</v>
      </c>
      <c r="E187" s="5">
        <v>20468261082</v>
      </c>
      <c r="F187" s="5" t="s">
        <v>161</v>
      </c>
      <c r="G187" s="5" t="s">
        <v>26</v>
      </c>
      <c r="H187" s="5" t="s">
        <v>7</v>
      </c>
      <c r="I187" s="31">
        <v>330.4</v>
      </c>
      <c r="J187" s="31">
        <v>0</v>
      </c>
      <c r="K187" s="6" t="str">
        <f t="shared" si="5"/>
        <v>180 &lt;= 360 DIAS</v>
      </c>
      <c r="L187" s="7" t="str">
        <f>_xlfn.CONCAT(TEXT(MONTH(DATA[[#This Row],[FECHA DE VENCIMIENTO]]),"00"),"-",TEXT(DATA[[#This Row],[FECHA DE VENCIMIENTO]],"MMM"))</f>
        <v>10-Oct</v>
      </c>
    </row>
    <row r="188" spans="1:12" hidden="1" x14ac:dyDescent="0.3">
      <c r="A188" s="3">
        <v>44620</v>
      </c>
      <c r="B188" s="3">
        <v>44499</v>
      </c>
      <c r="C188" s="4">
        <f t="shared" si="4"/>
        <v>411</v>
      </c>
      <c r="D188" s="5" t="s">
        <v>211</v>
      </c>
      <c r="E188" s="5">
        <v>20468261082</v>
      </c>
      <c r="F188" s="5" t="s">
        <v>161</v>
      </c>
      <c r="G188" s="5" t="s">
        <v>26</v>
      </c>
      <c r="H188" s="5" t="s">
        <v>7</v>
      </c>
      <c r="I188" s="31">
        <v>214.76</v>
      </c>
      <c r="J188" s="31">
        <v>0</v>
      </c>
      <c r="K188" s="6" t="str">
        <f t="shared" si="5"/>
        <v>180 &lt;= 360 DIAS</v>
      </c>
      <c r="L188" s="7" t="str">
        <f>_xlfn.CONCAT(TEXT(MONTH(DATA[[#This Row],[FECHA DE VENCIMIENTO]]),"00"),"-",TEXT(DATA[[#This Row],[FECHA DE VENCIMIENTO]],"MMM"))</f>
        <v>10-Oct</v>
      </c>
    </row>
    <row r="189" spans="1:12" hidden="1" x14ac:dyDescent="0.3">
      <c r="A189" s="3">
        <v>44620</v>
      </c>
      <c r="B189" s="3">
        <v>44499</v>
      </c>
      <c r="C189" s="4">
        <f t="shared" si="4"/>
        <v>411</v>
      </c>
      <c r="D189" s="5" t="s">
        <v>213</v>
      </c>
      <c r="E189" s="5">
        <v>20521036061</v>
      </c>
      <c r="F189" s="5" t="s">
        <v>214</v>
      </c>
      <c r="G189" s="5" t="s">
        <v>13</v>
      </c>
      <c r="H189" s="5" t="s">
        <v>29</v>
      </c>
      <c r="I189" s="31">
        <v>0</v>
      </c>
      <c r="J189" s="31">
        <v>42.86</v>
      </c>
      <c r="K189" s="6" t="str">
        <f t="shared" si="5"/>
        <v>180 &lt;= 360 DIAS</v>
      </c>
      <c r="L189" s="7" t="str">
        <f>_xlfn.CONCAT(TEXT(MONTH(DATA[[#This Row],[FECHA DE VENCIMIENTO]]),"00"),"-",TEXT(DATA[[#This Row],[FECHA DE VENCIMIENTO]],"MMM"))</f>
        <v>10-Oct</v>
      </c>
    </row>
    <row r="190" spans="1:12" hidden="1" x14ac:dyDescent="0.3">
      <c r="A190" s="3">
        <v>44620</v>
      </c>
      <c r="B190" s="3">
        <v>44505</v>
      </c>
      <c r="C190" s="4">
        <f t="shared" si="4"/>
        <v>405</v>
      </c>
      <c r="D190" s="5" t="s">
        <v>215</v>
      </c>
      <c r="E190" s="5">
        <v>20603582935</v>
      </c>
      <c r="F190" s="5" t="s">
        <v>216</v>
      </c>
      <c r="G190" s="5" t="s">
        <v>13</v>
      </c>
      <c r="H190" s="5" t="s">
        <v>7</v>
      </c>
      <c r="I190" s="31">
        <v>2472.4299999999998</v>
      </c>
      <c r="J190" s="31">
        <v>0</v>
      </c>
      <c r="K190" s="6" t="str">
        <f t="shared" si="5"/>
        <v>180 &lt;= 360 DIAS</v>
      </c>
      <c r="L190" s="7" t="str">
        <f>_xlfn.CONCAT(TEXT(MONTH(DATA[[#This Row],[FECHA DE VENCIMIENTO]]),"00"),"-",TEXT(DATA[[#This Row],[FECHA DE VENCIMIENTO]],"MMM"))</f>
        <v>11-Nov</v>
      </c>
    </row>
    <row r="191" spans="1:12" hidden="1" x14ac:dyDescent="0.3">
      <c r="A191" s="3">
        <v>44620</v>
      </c>
      <c r="B191" s="3">
        <v>44514</v>
      </c>
      <c r="C191" s="4">
        <f t="shared" si="4"/>
        <v>396</v>
      </c>
      <c r="D191" s="5" t="s">
        <v>217</v>
      </c>
      <c r="E191" s="5">
        <v>20521036061</v>
      </c>
      <c r="F191" s="5" t="s">
        <v>214</v>
      </c>
      <c r="G191" s="5" t="s">
        <v>13</v>
      </c>
      <c r="H191" s="5" t="s">
        <v>29</v>
      </c>
      <c r="I191" s="31">
        <v>0</v>
      </c>
      <c r="J191" s="31">
        <v>42.86</v>
      </c>
      <c r="K191" s="6" t="str">
        <f t="shared" si="5"/>
        <v>180 &lt;= 360 DIAS</v>
      </c>
      <c r="L191" s="7" t="str">
        <f>_xlfn.CONCAT(TEXT(MONTH(DATA[[#This Row],[FECHA DE VENCIMIENTO]]),"00"),"-",TEXT(DATA[[#This Row],[FECHA DE VENCIMIENTO]],"MMM"))</f>
        <v>11-Nov</v>
      </c>
    </row>
    <row r="192" spans="1:12" hidden="1" x14ac:dyDescent="0.3">
      <c r="A192" s="3">
        <v>44620</v>
      </c>
      <c r="B192" s="3">
        <v>44514</v>
      </c>
      <c r="C192" s="4">
        <f t="shared" si="4"/>
        <v>396</v>
      </c>
      <c r="D192" s="5" t="s">
        <v>218</v>
      </c>
      <c r="E192" s="5">
        <v>20521036061</v>
      </c>
      <c r="F192" s="5" t="s">
        <v>214</v>
      </c>
      <c r="G192" s="5" t="s">
        <v>13</v>
      </c>
      <c r="H192" s="5" t="s">
        <v>29</v>
      </c>
      <c r="I192" s="31">
        <v>0</v>
      </c>
      <c r="J192" s="31">
        <v>42.86</v>
      </c>
      <c r="K192" s="6" t="str">
        <f t="shared" si="5"/>
        <v>180 &lt;= 360 DIAS</v>
      </c>
      <c r="L192" s="7" t="str">
        <f>_xlfn.CONCAT(TEXT(MONTH(DATA[[#This Row],[FECHA DE VENCIMIENTO]]),"00"),"-",TEXT(DATA[[#This Row],[FECHA DE VENCIMIENTO]],"MMM"))</f>
        <v>11-Nov</v>
      </c>
    </row>
    <row r="193" spans="1:12" hidden="1" x14ac:dyDescent="0.3">
      <c r="A193" s="3">
        <v>44620</v>
      </c>
      <c r="B193" s="3">
        <v>44517</v>
      </c>
      <c r="C193" s="4">
        <f t="shared" si="4"/>
        <v>393</v>
      </c>
      <c r="D193" s="5" t="s">
        <v>220</v>
      </c>
      <c r="E193" s="5">
        <v>20468261082</v>
      </c>
      <c r="F193" s="5" t="s">
        <v>161</v>
      </c>
      <c r="G193" s="5" t="s">
        <v>26</v>
      </c>
      <c r="H193" s="5" t="s">
        <v>7</v>
      </c>
      <c r="I193" s="31">
        <v>1565.15</v>
      </c>
      <c r="J193" s="31">
        <v>0</v>
      </c>
      <c r="K193" s="6" t="str">
        <f t="shared" si="5"/>
        <v>180 &lt;= 360 DIAS</v>
      </c>
      <c r="L193" s="7" t="str">
        <f>_xlfn.CONCAT(TEXT(MONTH(DATA[[#This Row],[FECHA DE VENCIMIENTO]]),"00"),"-",TEXT(DATA[[#This Row],[FECHA DE VENCIMIENTO]],"MMM"))</f>
        <v>11-Nov</v>
      </c>
    </row>
    <row r="194" spans="1:12" hidden="1" x14ac:dyDescent="0.3">
      <c r="A194" s="3">
        <v>44620</v>
      </c>
      <c r="B194" s="3">
        <v>44517</v>
      </c>
      <c r="C194" s="4">
        <f t="shared" si="4"/>
        <v>393</v>
      </c>
      <c r="D194" s="5" t="s">
        <v>219</v>
      </c>
      <c r="E194" s="5">
        <v>20468261082</v>
      </c>
      <c r="F194" s="5" t="s">
        <v>161</v>
      </c>
      <c r="G194" s="5" t="s">
        <v>26</v>
      </c>
      <c r="H194" s="5" t="s">
        <v>7</v>
      </c>
      <c r="I194" s="31">
        <v>864.65</v>
      </c>
      <c r="J194" s="31">
        <v>0</v>
      </c>
      <c r="K194" s="6" t="str">
        <f t="shared" si="5"/>
        <v>180 &lt;= 360 DIAS</v>
      </c>
      <c r="L194" s="7" t="str">
        <f>_xlfn.CONCAT(TEXT(MONTH(DATA[[#This Row],[FECHA DE VENCIMIENTO]]),"00"),"-",TEXT(DATA[[#This Row],[FECHA DE VENCIMIENTO]],"MMM"))</f>
        <v>11-Nov</v>
      </c>
    </row>
    <row r="195" spans="1:12" hidden="1" x14ac:dyDescent="0.3">
      <c r="A195" s="3">
        <v>44620</v>
      </c>
      <c r="B195" s="3">
        <v>44524</v>
      </c>
      <c r="C195" s="4">
        <f t="shared" si="4"/>
        <v>386</v>
      </c>
      <c r="D195" s="5" t="s">
        <v>221</v>
      </c>
      <c r="E195" s="5">
        <v>20557340034</v>
      </c>
      <c r="F195" s="5" t="s">
        <v>196</v>
      </c>
      <c r="G195" s="5" t="s">
        <v>13</v>
      </c>
      <c r="H195" s="5" t="s">
        <v>29</v>
      </c>
      <c r="I195" s="31">
        <v>0</v>
      </c>
      <c r="J195" s="31">
        <v>329.22</v>
      </c>
      <c r="K195" s="6" t="str">
        <f t="shared" si="5"/>
        <v>180 &lt;= 360 DIAS</v>
      </c>
      <c r="L195" s="7" t="str">
        <f>_xlfn.CONCAT(TEXT(MONTH(DATA[[#This Row],[FECHA DE VENCIMIENTO]]),"00"),"-",TEXT(DATA[[#This Row],[FECHA DE VENCIMIENTO]],"MMM"))</f>
        <v>11-Nov</v>
      </c>
    </row>
    <row r="196" spans="1:12" ht="31.2" hidden="1" x14ac:dyDescent="0.3">
      <c r="A196" s="3">
        <v>44620</v>
      </c>
      <c r="B196" s="3">
        <v>44525</v>
      </c>
      <c r="C196" s="4">
        <f t="shared" ref="C196:C259" si="6">$E$2-B196</f>
        <v>385</v>
      </c>
      <c r="D196" s="5" t="s">
        <v>223</v>
      </c>
      <c r="E196" s="5">
        <v>20514793353</v>
      </c>
      <c r="F196" s="5" t="s">
        <v>198</v>
      </c>
      <c r="G196" s="5" t="s">
        <v>46</v>
      </c>
      <c r="H196" s="5" t="s">
        <v>7</v>
      </c>
      <c r="I196" s="31">
        <v>3957.15</v>
      </c>
      <c r="J196" s="31">
        <v>0</v>
      </c>
      <c r="K196" s="6" t="str">
        <f t="shared" ref="K196:K259" si="7">IF(C196&gt;180,"180 &lt;= 360 DIAS",IF(C196&gt;90,"90 &lt;= 180 DIAS",IF(C196&gt;60,"60 &lt;= 90 DIAS",IF(C196&gt;30,"30 &lt;= 60 DIAS",IF(C196&gt;15,"15 &lt;= 30 DIAS","1-POR VENCER")))))</f>
        <v>180 &lt;= 360 DIAS</v>
      </c>
      <c r="L196" s="7" t="str">
        <f>_xlfn.CONCAT(TEXT(MONTH(DATA[[#This Row],[FECHA DE VENCIMIENTO]]),"00"),"-",TEXT(DATA[[#This Row],[FECHA DE VENCIMIENTO]],"MMM"))</f>
        <v>11-Nov</v>
      </c>
    </row>
    <row r="197" spans="1:12" hidden="1" x14ac:dyDescent="0.3">
      <c r="A197" s="3">
        <v>44620</v>
      </c>
      <c r="B197" s="3">
        <v>44529</v>
      </c>
      <c r="C197" s="4">
        <f t="shared" si="6"/>
        <v>381</v>
      </c>
      <c r="D197" s="5" t="s">
        <v>224</v>
      </c>
      <c r="E197" s="5">
        <v>20519902428</v>
      </c>
      <c r="F197" s="5" t="s">
        <v>225</v>
      </c>
      <c r="G197" s="5" t="s">
        <v>33</v>
      </c>
      <c r="H197" s="5" t="s">
        <v>29</v>
      </c>
      <c r="I197" s="31">
        <v>0</v>
      </c>
      <c r="J197" s="31">
        <v>2723.44</v>
      </c>
      <c r="K197" s="6" t="str">
        <f t="shared" si="7"/>
        <v>180 &lt;= 360 DIAS</v>
      </c>
      <c r="L197" s="7" t="str">
        <f>_xlfn.CONCAT(TEXT(MONTH(DATA[[#This Row],[FECHA DE VENCIMIENTO]]),"00"),"-",TEXT(DATA[[#This Row],[FECHA DE VENCIMIENTO]],"MMM"))</f>
        <v>11-Nov</v>
      </c>
    </row>
    <row r="198" spans="1:12" hidden="1" x14ac:dyDescent="0.3">
      <c r="A198" s="3">
        <v>44620</v>
      </c>
      <c r="B198" s="3">
        <v>44534</v>
      </c>
      <c r="C198" s="4">
        <f t="shared" si="6"/>
        <v>376</v>
      </c>
      <c r="D198" s="5" t="s">
        <v>226</v>
      </c>
      <c r="E198" s="5">
        <v>20601317266</v>
      </c>
      <c r="F198" s="5" t="s">
        <v>227</v>
      </c>
      <c r="G198" s="5" t="s">
        <v>33</v>
      </c>
      <c r="H198" s="5" t="s">
        <v>29</v>
      </c>
      <c r="I198" s="31">
        <v>0</v>
      </c>
      <c r="J198" s="31">
        <v>4064.37</v>
      </c>
      <c r="K198" s="6" t="str">
        <f t="shared" si="7"/>
        <v>180 &lt;= 360 DIAS</v>
      </c>
      <c r="L198" s="7" t="str">
        <f>_xlfn.CONCAT(TEXT(MONTH(DATA[[#This Row],[FECHA DE VENCIMIENTO]]),"00"),"-",TEXT(DATA[[#This Row],[FECHA DE VENCIMIENTO]],"MMM"))</f>
        <v>12-Dic</v>
      </c>
    </row>
    <row r="199" spans="1:12" hidden="1" x14ac:dyDescent="0.3">
      <c r="A199" s="3">
        <v>44620</v>
      </c>
      <c r="B199" s="3">
        <v>44536</v>
      </c>
      <c r="C199" s="4">
        <f t="shared" si="6"/>
        <v>374</v>
      </c>
      <c r="D199" s="5" t="s">
        <v>228</v>
      </c>
      <c r="E199" s="5">
        <v>20603890176</v>
      </c>
      <c r="F199" s="5" t="s">
        <v>158</v>
      </c>
      <c r="G199" s="5" t="s">
        <v>13</v>
      </c>
      <c r="H199" s="5" t="s">
        <v>29</v>
      </c>
      <c r="I199" s="31">
        <v>0</v>
      </c>
      <c r="J199" s="31">
        <v>11.67</v>
      </c>
      <c r="K199" s="6" t="str">
        <f t="shared" si="7"/>
        <v>180 &lt;= 360 DIAS</v>
      </c>
      <c r="L199" s="7" t="str">
        <f>_xlfn.CONCAT(TEXT(MONTH(DATA[[#This Row],[FECHA DE VENCIMIENTO]]),"00"),"-",TEXT(DATA[[#This Row],[FECHA DE VENCIMIENTO]],"MMM"))</f>
        <v>12-Dic</v>
      </c>
    </row>
    <row r="200" spans="1:12" hidden="1" x14ac:dyDescent="0.3">
      <c r="A200" s="3">
        <v>44620</v>
      </c>
      <c r="B200" s="3">
        <v>44537</v>
      </c>
      <c r="C200" s="4">
        <f t="shared" si="6"/>
        <v>373</v>
      </c>
      <c r="D200" s="5" t="s">
        <v>229</v>
      </c>
      <c r="E200" s="5">
        <v>20474584985</v>
      </c>
      <c r="F200" s="5" t="s">
        <v>204</v>
      </c>
      <c r="G200" s="5" t="s">
        <v>13</v>
      </c>
      <c r="H200" s="5" t="s">
        <v>7</v>
      </c>
      <c r="I200" s="31">
        <v>1719.85</v>
      </c>
      <c r="J200" s="31">
        <v>0</v>
      </c>
      <c r="K200" s="6" t="str">
        <f t="shared" si="7"/>
        <v>180 &lt;= 360 DIAS</v>
      </c>
      <c r="L200" s="7" t="str">
        <f>_xlfn.CONCAT(TEXT(MONTH(DATA[[#This Row],[FECHA DE VENCIMIENTO]]),"00"),"-",TEXT(DATA[[#This Row],[FECHA DE VENCIMIENTO]],"MMM"))</f>
        <v>12-Dic</v>
      </c>
    </row>
    <row r="201" spans="1:12" hidden="1" x14ac:dyDescent="0.3">
      <c r="A201" s="3">
        <v>44620</v>
      </c>
      <c r="B201" s="3">
        <v>44539</v>
      </c>
      <c r="C201" s="4">
        <f t="shared" si="6"/>
        <v>371</v>
      </c>
      <c r="D201" s="5" t="s">
        <v>230</v>
      </c>
      <c r="E201" s="5">
        <v>20603890176</v>
      </c>
      <c r="F201" s="5" t="s">
        <v>158</v>
      </c>
      <c r="G201" s="5" t="s">
        <v>13</v>
      </c>
      <c r="H201" s="5" t="s">
        <v>29</v>
      </c>
      <c r="I201" s="31">
        <v>0</v>
      </c>
      <c r="J201" s="31">
        <v>35.72</v>
      </c>
      <c r="K201" s="6" t="str">
        <f t="shared" si="7"/>
        <v>180 &lt;= 360 DIAS</v>
      </c>
      <c r="L201" s="7" t="str">
        <f>_xlfn.CONCAT(TEXT(MONTH(DATA[[#This Row],[FECHA DE VENCIMIENTO]]),"00"),"-",TEXT(DATA[[#This Row],[FECHA DE VENCIMIENTO]],"MMM"))</f>
        <v>12-Dic</v>
      </c>
    </row>
    <row r="202" spans="1:12" hidden="1" x14ac:dyDescent="0.3">
      <c r="A202" s="3">
        <v>44620</v>
      </c>
      <c r="B202" s="3">
        <v>44545</v>
      </c>
      <c r="C202" s="4">
        <f t="shared" si="6"/>
        <v>365</v>
      </c>
      <c r="D202" s="5" t="s">
        <v>231</v>
      </c>
      <c r="E202" s="5">
        <v>20557340034</v>
      </c>
      <c r="F202" s="5" t="s">
        <v>196</v>
      </c>
      <c r="G202" s="5" t="s">
        <v>13</v>
      </c>
      <c r="H202" s="5" t="s">
        <v>29</v>
      </c>
      <c r="I202" s="31">
        <v>0</v>
      </c>
      <c r="J202" s="31">
        <v>329.22</v>
      </c>
      <c r="K202" s="6" t="str">
        <f t="shared" si="7"/>
        <v>180 &lt;= 360 DIAS</v>
      </c>
      <c r="L202" s="7" t="str">
        <f>_xlfn.CONCAT(TEXT(MONTH(DATA[[#This Row],[FECHA DE VENCIMIENTO]]),"00"),"-",TEXT(DATA[[#This Row],[FECHA DE VENCIMIENTO]],"MMM"))</f>
        <v>12-Dic</v>
      </c>
    </row>
    <row r="203" spans="1:12" hidden="1" x14ac:dyDescent="0.3">
      <c r="A203" s="3">
        <v>44620</v>
      </c>
      <c r="B203" s="3">
        <v>44553</v>
      </c>
      <c r="C203" s="4">
        <f t="shared" si="6"/>
        <v>357</v>
      </c>
      <c r="D203" s="5" t="s">
        <v>233</v>
      </c>
      <c r="E203" s="5">
        <v>20519902428</v>
      </c>
      <c r="F203" s="5" t="s">
        <v>225</v>
      </c>
      <c r="G203" s="5" t="s">
        <v>33</v>
      </c>
      <c r="H203" s="5" t="s">
        <v>29</v>
      </c>
      <c r="I203" s="31">
        <v>0</v>
      </c>
      <c r="J203" s="31">
        <v>3269.19</v>
      </c>
      <c r="K203" s="6" t="str">
        <f t="shared" si="7"/>
        <v>180 &lt;= 360 DIAS</v>
      </c>
      <c r="L203" s="7" t="str">
        <f>_xlfn.CONCAT(TEXT(MONTH(DATA[[#This Row],[FECHA DE VENCIMIENTO]]),"00"),"-",TEXT(DATA[[#This Row],[FECHA DE VENCIMIENTO]],"MMM"))</f>
        <v>12-Dic</v>
      </c>
    </row>
    <row r="204" spans="1:12" hidden="1" x14ac:dyDescent="0.3">
      <c r="A204" s="3">
        <v>44620</v>
      </c>
      <c r="B204" s="3">
        <v>44555</v>
      </c>
      <c r="C204" s="4">
        <f t="shared" si="6"/>
        <v>355</v>
      </c>
      <c r="D204" s="5" t="s">
        <v>234</v>
      </c>
      <c r="E204" s="5">
        <v>20605079866</v>
      </c>
      <c r="F204" s="5" t="s">
        <v>235</v>
      </c>
      <c r="G204" s="5" t="s">
        <v>13</v>
      </c>
      <c r="H204" s="5" t="s">
        <v>29</v>
      </c>
      <c r="I204" s="31">
        <v>0</v>
      </c>
      <c r="J204" s="31">
        <v>230.12</v>
      </c>
      <c r="K204" s="6" t="str">
        <f t="shared" si="7"/>
        <v>180 &lt;= 360 DIAS</v>
      </c>
      <c r="L204" s="7" t="str">
        <f>_xlfn.CONCAT(TEXT(MONTH(DATA[[#This Row],[FECHA DE VENCIMIENTO]]),"00"),"-",TEXT(DATA[[#This Row],[FECHA DE VENCIMIENTO]],"MMM"))</f>
        <v>12-Dic</v>
      </c>
    </row>
    <row r="205" spans="1:12" hidden="1" x14ac:dyDescent="0.3">
      <c r="A205" s="3">
        <v>44620</v>
      </c>
      <c r="B205" s="3">
        <v>44572</v>
      </c>
      <c r="C205" s="4">
        <f t="shared" si="6"/>
        <v>338</v>
      </c>
      <c r="D205" s="5" t="s">
        <v>237</v>
      </c>
      <c r="E205" s="5">
        <v>20519902428</v>
      </c>
      <c r="F205" s="5" t="s">
        <v>225</v>
      </c>
      <c r="G205" s="5" t="s">
        <v>33</v>
      </c>
      <c r="H205" s="5" t="s">
        <v>29</v>
      </c>
      <c r="I205" s="31">
        <v>0</v>
      </c>
      <c r="J205" s="31">
        <v>2679.19</v>
      </c>
      <c r="K205" s="6" t="str">
        <f t="shared" si="7"/>
        <v>180 &lt;= 360 DIAS</v>
      </c>
      <c r="L205" s="7" t="str">
        <f>_xlfn.CONCAT(TEXT(MONTH(DATA[[#This Row],[FECHA DE VENCIMIENTO]]),"00"),"-",TEXT(DATA[[#This Row],[FECHA DE VENCIMIENTO]],"MMM"))</f>
        <v>01-Ene</v>
      </c>
    </row>
    <row r="206" spans="1:12" hidden="1" x14ac:dyDescent="0.3">
      <c r="A206" s="3">
        <v>44620</v>
      </c>
      <c r="B206" s="3">
        <v>44578</v>
      </c>
      <c r="C206" s="4">
        <f t="shared" si="6"/>
        <v>332</v>
      </c>
      <c r="D206" s="5" t="s">
        <v>238</v>
      </c>
      <c r="E206" s="5">
        <v>10181238025</v>
      </c>
      <c r="F206" s="5" t="s">
        <v>239</v>
      </c>
      <c r="G206" s="5" t="s">
        <v>58</v>
      </c>
      <c r="H206" s="5" t="s">
        <v>7</v>
      </c>
      <c r="I206" s="31">
        <v>616.28</v>
      </c>
      <c r="J206" s="31">
        <v>0</v>
      </c>
      <c r="K206" s="6" t="str">
        <f t="shared" si="7"/>
        <v>180 &lt;= 360 DIAS</v>
      </c>
      <c r="L206" s="7" t="str">
        <f>_xlfn.CONCAT(TEXT(MONTH(DATA[[#This Row],[FECHA DE VENCIMIENTO]]),"00"),"-",TEXT(DATA[[#This Row],[FECHA DE VENCIMIENTO]],"MMM"))</f>
        <v>01-Ene</v>
      </c>
    </row>
    <row r="207" spans="1:12" hidden="1" x14ac:dyDescent="0.3">
      <c r="A207" s="3">
        <v>44620</v>
      </c>
      <c r="B207" s="3">
        <v>44578</v>
      </c>
      <c r="C207" s="4">
        <f t="shared" si="6"/>
        <v>332</v>
      </c>
      <c r="D207" s="5" t="s">
        <v>240</v>
      </c>
      <c r="E207" s="5">
        <v>20600728688</v>
      </c>
      <c r="F207" s="5" t="s">
        <v>12</v>
      </c>
      <c r="G207" s="5" t="s">
        <v>13</v>
      </c>
      <c r="H207" s="5" t="s">
        <v>7</v>
      </c>
      <c r="I207" s="31">
        <v>4158.4399999999996</v>
      </c>
      <c r="J207" s="31">
        <v>0</v>
      </c>
      <c r="K207" s="6" t="str">
        <f t="shared" si="7"/>
        <v>180 &lt;= 360 DIAS</v>
      </c>
      <c r="L207" s="7" t="str">
        <f>_xlfn.CONCAT(TEXT(MONTH(DATA[[#This Row],[FECHA DE VENCIMIENTO]]),"00"),"-",TEXT(DATA[[#This Row],[FECHA DE VENCIMIENTO]],"MMM"))</f>
        <v>01-Ene</v>
      </c>
    </row>
    <row r="208" spans="1:12" hidden="1" x14ac:dyDescent="0.3">
      <c r="A208" s="3">
        <v>44620</v>
      </c>
      <c r="B208" s="3">
        <v>44588</v>
      </c>
      <c r="C208" s="4">
        <f t="shared" si="6"/>
        <v>322</v>
      </c>
      <c r="D208" s="5" t="s">
        <v>242</v>
      </c>
      <c r="E208" s="5">
        <v>20519902428</v>
      </c>
      <c r="F208" s="5" t="s">
        <v>225</v>
      </c>
      <c r="G208" s="5" t="s">
        <v>33</v>
      </c>
      <c r="H208" s="5" t="s">
        <v>29</v>
      </c>
      <c r="I208" s="31">
        <v>0</v>
      </c>
      <c r="J208" s="31">
        <v>3191.31</v>
      </c>
      <c r="K208" s="6" t="str">
        <f t="shared" si="7"/>
        <v>180 &lt;= 360 DIAS</v>
      </c>
      <c r="L208" s="7" t="str">
        <f>_xlfn.CONCAT(TEXT(MONTH(DATA[[#This Row],[FECHA DE VENCIMIENTO]]),"00"),"-",TEXT(DATA[[#This Row],[FECHA DE VENCIMIENTO]],"MMM"))</f>
        <v>01-Ene</v>
      </c>
    </row>
    <row r="209" spans="1:12" hidden="1" x14ac:dyDescent="0.3">
      <c r="A209" s="3">
        <v>44620</v>
      </c>
      <c r="B209" s="3">
        <v>44589</v>
      </c>
      <c r="C209" s="4">
        <f t="shared" si="6"/>
        <v>321</v>
      </c>
      <c r="D209" s="5" t="s">
        <v>243</v>
      </c>
      <c r="E209" s="5">
        <v>20479436470</v>
      </c>
      <c r="F209" s="5" t="s">
        <v>241</v>
      </c>
      <c r="G209" s="5" t="s">
        <v>58</v>
      </c>
      <c r="H209" s="5" t="s">
        <v>7</v>
      </c>
      <c r="I209" s="31">
        <v>2037.44</v>
      </c>
      <c r="J209" s="31">
        <v>0</v>
      </c>
      <c r="K209" s="6" t="str">
        <f t="shared" si="7"/>
        <v>180 &lt;= 360 DIAS</v>
      </c>
      <c r="L209" s="7" t="str">
        <f>_xlfn.CONCAT(TEXT(MONTH(DATA[[#This Row],[FECHA DE VENCIMIENTO]]),"00"),"-",TEXT(DATA[[#This Row],[FECHA DE VENCIMIENTO]],"MMM"))</f>
        <v>01-Ene</v>
      </c>
    </row>
    <row r="210" spans="1:12" hidden="1" x14ac:dyDescent="0.3">
      <c r="A210" s="3">
        <v>44620</v>
      </c>
      <c r="B210" s="3">
        <v>44592</v>
      </c>
      <c r="C210" s="4">
        <f t="shared" si="6"/>
        <v>318</v>
      </c>
      <c r="D210" s="5" t="s">
        <v>247</v>
      </c>
      <c r="E210" s="5">
        <v>20603174934</v>
      </c>
      <c r="F210" s="5" t="s">
        <v>248</v>
      </c>
      <c r="G210" s="5" t="s">
        <v>33</v>
      </c>
      <c r="H210" s="5" t="s">
        <v>29</v>
      </c>
      <c r="I210" s="31">
        <v>0</v>
      </c>
      <c r="J210" s="31">
        <v>465.14</v>
      </c>
      <c r="K210" s="6" t="str">
        <f t="shared" si="7"/>
        <v>180 &lt;= 360 DIAS</v>
      </c>
      <c r="L210" s="7" t="str">
        <f>_xlfn.CONCAT(TEXT(MONTH(DATA[[#This Row],[FECHA DE VENCIMIENTO]]),"00"),"-",TEXT(DATA[[#This Row],[FECHA DE VENCIMIENTO]],"MMM"))</f>
        <v>01-Ene</v>
      </c>
    </row>
    <row r="211" spans="1:12" hidden="1" x14ac:dyDescent="0.3">
      <c r="A211" s="3">
        <v>44620</v>
      </c>
      <c r="B211" s="3">
        <v>44592</v>
      </c>
      <c r="C211" s="4">
        <f t="shared" si="6"/>
        <v>318</v>
      </c>
      <c r="D211" s="5" t="s">
        <v>251</v>
      </c>
      <c r="E211" s="5">
        <v>20606970600</v>
      </c>
      <c r="F211" s="5" t="s">
        <v>252</v>
      </c>
      <c r="G211" s="5" t="s">
        <v>13</v>
      </c>
      <c r="H211" s="5" t="s">
        <v>29</v>
      </c>
      <c r="I211" s="31">
        <v>0</v>
      </c>
      <c r="J211" s="31">
        <v>329.22</v>
      </c>
      <c r="K211" s="6" t="str">
        <f t="shared" si="7"/>
        <v>180 &lt;= 360 DIAS</v>
      </c>
      <c r="L211" s="7" t="str">
        <f>_xlfn.CONCAT(TEXT(MONTH(DATA[[#This Row],[FECHA DE VENCIMIENTO]]),"00"),"-",TEXT(DATA[[#This Row],[FECHA DE VENCIMIENTO]],"MMM"))</f>
        <v>01-Ene</v>
      </c>
    </row>
    <row r="212" spans="1:12" hidden="1" x14ac:dyDescent="0.3">
      <c r="A212" s="3">
        <v>44620</v>
      </c>
      <c r="B212" s="3">
        <v>44592</v>
      </c>
      <c r="C212" s="4">
        <f t="shared" si="6"/>
        <v>318</v>
      </c>
      <c r="D212" s="5" t="s">
        <v>244</v>
      </c>
      <c r="E212" s="5">
        <v>20603295502</v>
      </c>
      <c r="F212" s="5" t="s">
        <v>245</v>
      </c>
      <c r="G212" s="5" t="s">
        <v>16</v>
      </c>
      <c r="H212" s="5" t="s">
        <v>7</v>
      </c>
      <c r="I212" s="31">
        <v>210.81</v>
      </c>
      <c r="J212" s="31">
        <v>0</v>
      </c>
      <c r="K212" s="6" t="str">
        <f t="shared" si="7"/>
        <v>180 &lt;= 360 DIAS</v>
      </c>
      <c r="L212" s="7" t="str">
        <f>_xlfn.CONCAT(TEXT(MONTH(DATA[[#This Row],[FECHA DE VENCIMIENTO]]),"00"),"-",TEXT(DATA[[#This Row],[FECHA DE VENCIMIENTO]],"MMM"))</f>
        <v>01-Ene</v>
      </c>
    </row>
    <row r="213" spans="1:12" hidden="1" x14ac:dyDescent="0.3">
      <c r="A213" s="3">
        <v>44620</v>
      </c>
      <c r="B213" s="3">
        <v>44592</v>
      </c>
      <c r="C213" s="4">
        <f t="shared" si="6"/>
        <v>318</v>
      </c>
      <c r="D213" s="5" t="s">
        <v>250</v>
      </c>
      <c r="E213" s="5">
        <v>20521036061</v>
      </c>
      <c r="F213" s="5" t="s">
        <v>214</v>
      </c>
      <c r="G213" s="5" t="s">
        <v>13</v>
      </c>
      <c r="H213" s="5" t="s">
        <v>29</v>
      </c>
      <c r="I213" s="31">
        <v>0</v>
      </c>
      <c r="J213" s="31">
        <v>42.86</v>
      </c>
      <c r="K213" s="6" t="str">
        <f t="shared" si="7"/>
        <v>180 &lt;= 360 DIAS</v>
      </c>
      <c r="L213" s="7" t="str">
        <f>_xlfn.CONCAT(TEXT(MONTH(DATA[[#This Row],[FECHA DE VENCIMIENTO]]),"00"),"-",TEXT(DATA[[#This Row],[FECHA DE VENCIMIENTO]],"MMM"))</f>
        <v>01-Ene</v>
      </c>
    </row>
    <row r="214" spans="1:12" hidden="1" x14ac:dyDescent="0.3">
      <c r="A214" s="3">
        <v>44620</v>
      </c>
      <c r="B214" s="3">
        <v>44592</v>
      </c>
      <c r="C214" s="4">
        <f t="shared" si="6"/>
        <v>318</v>
      </c>
      <c r="D214" s="5" t="s">
        <v>249</v>
      </c>
      <c r="E214" s="5">
        <v>20521036061</v>
      </c>
      <c r="F214" s="5" t="s">
        <v>214</v>
      </c>
      <c r="G214" s="5" t="s">
        <v>13</v>
      </c>
      <c r="H214" s="5" t="s">
        <v>29</v>
      </c>
      <c r="I214" s="31">
        <v>0</v>
      </c>
      <c r="J214" s="31">
        <v>42.86</v>
      </c>
      <c r="K214" s="6" t="str">
        <f t="shared" si="7"/>
        <v>180 &lt;= 360 DIAS</v>
      </c>
      <c r="L214" s="7" t="str">
        <f>_xlfn.CONCAT(TEXT(MONTH(DATA[[#This Row],[FECHA DE VENCIMIENTO]]),"00"),"-",TEXT(DATA[[#This Row],[FECHA DE VENCIMIENTO]],"MMM"))</f>
        <v>01-Ene</v>
      </c>
    </row>
    <row r="215" spans="1:12" hidden="1" x14ac:dyDescent="0.3">
      <c r="A215" s="3">
        <v>44712</v>
      </c>
      <c r="B215" s="3">
        <v>44599</v>
      </c>
      <c r="C215" s="4">
        <f t="shared" si="6"/>
        <v>311</v>
      </c>
      <c r="D215" s="5" t="s">
        <v>255</v>
      </c>
      <c r="E215" s="5">
        <v>5071825</v>
      </c>
      <c r="F215" s="5" t="s">
        <v>254</v>
      </c>
      <c r="G215" s="5" t="s">
        <v>33</v>
      </c>
      <c r="H215" s="5" t="s">
        <v>7</v>
      </c>
      <c r="I215" s="31">
        <v>4126.47</v>
      </c>
      <c r="J215" s="31">
        <v>0</v>
      </c>
      <c r="K215" s="6" t="str">
        <f t="shared" si="7"/>
        <v>180 &lt;= 360 DIAS</v>
      </c>
      <c r="L215" s="7" t="str">
        <f>_xlfn.CONCAT(TEXT(MONTH(DATA[[#This Row],[FECHA DE VENCIMIENTO]]),"00"),"-",TEXT(DATA[[#This Row],[FECHA DE VENCIMIENTO]],"MMM"))</f>
        <v>02-Feb</v>
      </c>
    </row>
    <row r="216" spans="1:12" hidden="1" x14ac:dyDescent="0.3">
      <c r="A216" s="3">
        <v>44712</v>
      </c>
      <c r="B216" s="3">
        <v>44599</v>
      </c>
      <c r="C216" s="4">
        <f t="shared" si="6"/>
        <v>311</v>
      </c>
      <c r="D216" s="5" t="s">
        <v>253</v>
      </c>
      <c r="E216" s="5">
        <v>5071825</v>
      </c>
      <c r="F216" s="5" t="s">
        <v>254</v>
      </c>
      <c r="G216" s="5" t="s">
        <v>33</v>
      </c>
      <c r="H216" s="5" t="s">
        <v>7</v>
      </c>
      <c r="I216" s="31">
        <v>2183</v>
      </c>
      <c r="J216" s="31">
        <v>0</v>
      </c>
      <c r="K216" s="6" t="str">
        <f t="shared" si="7"/>
        <v>180 &lt;= 360 DIAS</v>
      </c>
      <c r="L216" s="7" t="str">
        <f>_xlfn.CONCAT(TEXT(MONTH(DATA[[#This Row],[FECHA DE VENCIMIENTO]]),"00"),"-",TEXT(DATA[[#This Row],[FECHA DE VENCIMIENTO]],"MMM"))</f>
        <v>02-Feb</v>
      </c>
    </row>
    <row r="217" spans="1:12" hidden="1" x14ac:dyDescent="0.3">
      <c r="A217" s="3">
        <v>44620</v>
      </c>
      <c r="B217" s="3">
        <v>44601</v>
      </c>
      <c r="C217" s="4">
        <f t="shared" si="6"/>
        <v>309</v>
      </c>
      <c r="D217" s="5" t="s">
        <v>256</v>
      </c>
      <c r="E217" s="5">
        <v>20479436470</v>
      </c>
      <c r="F217" s="5" t="s">
        <v>241</v>
      </c>
      <c r="G217" s="5" t="s">
        <v>58</v>
      </c>
      <c r="H217" s="5" t="s">
        <v>7</v>
      </c>
      <c r="I217" s="31">
        <v>1750.91</v>
      </c>
      <c r="J217" s="31">
        <v>0</v>
      </c>
      <c r="K217" s="6" t="str">
        <f t="shared" si="7"/>
        <v>180 &lt;= 360 DIAS</v>
      </c>
      <c r="L217" s="7" t="str">
        <f>_xlfn.CONCAT(TEXT(MONTH(DATA[[#This Row],[FECHA DE VENCIMIENTO]]),"00"),"-",TEXT(DATA[[#This Row],[FECHA DE VENCIMIENTO]],"MMM"))</f>
        <v>02-Feb</v>
      </c>
    </row>
    <row r="218" spans="1:12" hidden="1" x14ac:dyDescent="0.3">
      <c r="A218" s="3">
        <v>44620</v>
      </c>
      <c r="B218" s="3">
        <v>44601</v>
      </c>
      <c r="C218" s="4">
        <f t="shared" si="6"/>
        <v>309</v>
      </c>
      <c r="D218" s="5" t="s">
        <v>257</v>
      </c>
      <c r="E218" s="5">
        <v>20479436470</v>
      </c>
      <c r="F218" s="5" t="s">
        <v>241</v>
      </c>
      <c r="G218" s="5" t="s">
        <v>58</v>
      </c>
      <c r="H218" s="5" t="s">
        <v>29</v>
      </c>
      <c r="I218" s="31">
        <v>0</v>
      </c>
      <c r="J218" s="31">
        <v>139.24</v>
      </c>
      <c r="K218" s="6" t="str">
        <f t="shared" si="7"/>
        <v>180 &lt;= 360 DIAS</v>
      </c>
      <c r="L218" s="7" t="str">
        <f>_xlfn.CONCAT(TEXT(MONTH(DATA[[#This Row],[FECHA DE VENCIMIENTO]]),"00"),"-",TEXT(DATA[[#This Row],[FECHA DE VENCIMIENTO]],"MMM"))</f>
        <v>02-Feb</v>
      </c>
    </row>
    <row r="219" spans="1:12" hidden="1" x14ac:dyDescent="0.3">
      <c r="A219" s="3">
        <v>44620</v>
      </c>
      <c r="B219" s="3">
        <v>44602</v>
      </c>
      <c r="C219" s="4">
        <f t="shared" si="6"/>
        <v>308</v>
      </c>
      <c r="D219" s="5" t="s">
        <v>259</v>
      </c>
      <c r="E219" s="5">
        <v>20538241378</v>
      </c>
      <c r="F219" s="5" t="s">
        <v>236</v>
      </c>
      <c r="G219" s="5" t="s">
        <v>13</v>
      </c>
      <c r="H219" s="5" t="s">
        <v>29</v>
      </c>
      <c r="I219" s="31">
        <v>0</v>
      </c>
      <c r="J219" s="31">
        <v>2250.89</v>
      </c>
      <c r="K219" s="6" t="str">
        <f t="shared" si="7"/>
        <v>180 &lt;= 360 DIAS</v>
      </c>
      <c r="L219" s="7" t="str">
        <f>_xlfn.CONCAT(TEXT(MONTH(DATA[[#This Row],[FECHA DE VENCIMIENTO]]),"00"),"-",TEXT(DATA[[#This Row],[FECHA DE VENCIMIENTO]],"MMM"))</f>
        <v>02-Feb</v>
      </c>
    </row>
    <row r="220" spans="1:12" hidden="1" x14ac:dyDescent="0.3">
      <c r="A220" s="3">
        <v>44620</v>
      </c>
      <c r="B220" s="3">
        <v>44602</v>
      </c>
      <c r="C220" s="4">
        <f t="shared" si="6"/>
        <v>308</v>
      </c>
      <c r="D220" s="5" t="s">
        <v>258</v>
      </c>
      <c r="E220" s="5">
        <v>20538241378</v>
      </c>
      <c r="F220" s="5" t="s">
        <v>236</v>
      </c>
      <c r="G220" s="5" t="s">
        <v>13</v>
      </c>
      <c r="H220" s="5" t="s">
        <v>29</v>
      </c>
      <c r="I220" s="31">
        <v>0</v>
      </c>
      <c r="J220" s="31">
        <v>658.44</v>
      </c>
      <c r="K220" s="6" t="str">
        <f t="shared" si="7"/>
        <v>180 &lt;= 360 DIAS</v>
      </c>
      <c r="L220" s="7" t="str">
        <f>_xlfn.CONCAT(TEXT(MONTH(DATA[[#This Row],[FECHA DE VENCIMIENTO]]),"00"),"-",TEXT(DATA[[#This Row],[FECHA DE VENCIMIENTO]],"MMM"))</f>
        <v>02-Feb</v>
      </c>
    </row>
    <row r="221" spans="1:12" hidden="1" x14ac:dyDescent="0.3">
      <c r="A221" s="3">
        <v>44620</v>
      </c>
      <c r="B221" s="3">
        <v>44605</v>
      </c>
      <c r="C221" s="4">
        <f t="shared" si="6"/>
        <v>305</v>
      </c>
      <c r="D221" s="5" t="s">
        <v>843</v>
      </c>
      <c r="E221" s="5">
        <v>20479436470</v>
      </c>
      <c r="F221" s="5" t="s">
        <v>241</v>
      </c>
      <c r="G221" s="5" t="s">
        <v>58</v>
      </c>
      <c r="H221" s="5" t="s">
        <v>7</v>
      </c>
      <c r="I221" s="31">
        <v>1452.92</v>
      </c>
      <c r="J221" s="31">
        <v>0</v>
      </c>
      <c r="K221" s="6" t="str">
        <f t="shared" si="7"/>
        <v>180 &lt;= 360 DIAS</v>
      </c>
      <c r="L221" s="7" t="str">
        <f>_xlfn.CONCAT(TEXT(MONTH(DATA[[#This Row],[FECHA DE VENCIMIENTO]]),"00"),"-",TEXT(DATA[[#This Row],[FECHA DE VENCIMIENTO]],"MMM"))</f>
        <v>02-Feb</v>
      </c>
    </row>
    <row r="222" spans="1:12" hidden="1" x14ac:dyDescent="0.3">
      <c r="A222" s="3">
        <v>44620</v>
      </c>
      <c r="B222" s="3">
        <v>44606</v>
      </c>
      <c r="C222" s="4">
        <f t="shared" si="6"/>
        <v>304</v>
      </c>
      <c r="D222" s="5" t="s">
        <v>260</v>
      </c>
      <c r="E222" s="5">
        <v>20606113758</v>
      </c>
      <c r="F222" s="5" t="s">
        <v>174</v>
      </c>
      <c r="G222" s="5" t="s">
        <v>13</v>
      </c>
      <c r="H222" s="5" t="s">
        <v>7</v>
      </c>
      <c r="I222" s="31">
        <v>7000</v>
      </c>
      <c r="J222" s="31">
        <v>0</v>
      </c>
      <c r="K222" s="6" t="str">
        <f t="shared" si="7"/>
        <v>180 &lt;= 360 DIAS</v>
      </c>
      <c r="L222" s="7" t="str">
        <f>_xlfn.CONCAT(TEXT(MONTH(DATA[[#This Row],[FECHA DE VENCIMIENTO]]),"00"),"-",TEXT(DATA[[#This Row],[FECHA DE VENCIMIENTO]],"MMM"))</f>
        <v>02-Feb</v>
      </c>
    </row>
    <row r="223" spans="1:12" hidden="1" x14ac:dyDescent="0.3">
      <c r="A223" s="3">
        <v>44620</v>
      </c>
      <c r="B223" s="3">
        <v>44609</v>
      </c>
      <c r="C223" s="4">
        <f t="shared" si="6"/>
        <v>301</v>
      </c>
      <c r="D223" s="5" t="s">
        <v>261</v>
      </c>
      <c r="E223" s="5">
        <v>5071825</v>
      </c>
      <c r="F223" s="5" t="s">
        <v>254</v>
      </c>
      <c r="G223" s="5" t="s">
        <v>33</v>
      </c>
      <c r="H223" s="5" t="s">
        <v>7</v>
      </c>
      <c r="I223" s="31">
        <v>1167.04</v>
      </c>
      <c r="J223" s="31">
        <v>0</v>
      </c>
      <c r="K223" s="6" t="str">
        <f t="shared" si="7"/>
        <v>180 &lt;= 360 DIAS</v>
      </c>
      <c r="L223" s="7" t="str">
        <f>_xlfn.CONCAT(TEXT(MONTH(DATA[[#This Row],[FECHA DE VENCIMIENTO]]),"00"),"-",TEXT(DATA[[#This Row],[FECHA DE VENCIMIENTO]],"MMM"))</f>
        <v>02-Feb</v>
      </c>
    </row>
    <row r="224" spans="1:12" hidden="1" x14ac:dyDescent="0.3">
      <c r="A224" s="3">
        <v>44712</v>
      </c>
      <c r="B224" s="3">
        <v>44609</v>
      </c>
      <c r="C224" s="4">
        <f t="shared" si="6"/>
        <v>301</v>
      </c>
      <c r="D224" s="5" t="s">
        <v>261</v>
      </c>
      <c r="E224" s="5">
        <v>5071825</v>
      </c>
      <c r="F224" s="5" t="s">
        <v>254</v>
      </c>
      <c r="G224" s="5" t="s">
        <v>33</v>
      </c>
      <c r="H224" s="5" t="s">
        <v>7</v>
      </c>
      <c r="I224" s="31">
        <v>647.42999999999995</v>
      </c>
      <c r="J224" s="31">
        <v>0</v>
      </c>
      <c r="K224" s="6" t="str">
        <f t="shared" si="7"/>
        <v>180 &lt;= 360 DIAS</v>
      </c>
      <c r="L224" s="7" t="str">
        <f>_xlfn.CONCAT(TEXT(MONTH(DATA[[#This Row],[FECHA DE VENCIMIENTO]]),"00"),"-",TEXT(DATA[[#This Row],[FECHA DE VENCIMIENTO]],"MMM"))</f>
        <v>02-Feb</v>
      </c>
    </row>
    <row r="225" spans="1:12" hidden="1" x14ac:dyDescent="0.3">
      <c r="A225" s="3">
        <v>44620</v>
      </c>
      <c r="B225" s="3">
        <v>44615</v>
      </c>
      <c r="C225" s="4">
        <f t="shared" si="6"/>
        <v>295</v>
      </c>
      <c r="D225" s="5" t="s">
        <v>262</v>
      </c>
      <c r="E225" s="5">
        <v>20479436470</v>
      </c>
      <c r="F225" s="5" t="s">
        <v>241</v>
      </c>
      <c r="G225" s="5" t="s">
        <v>58</v>
      </c>
      <c r="H225" s="5" t="s">
        <v>7</v>
      </c>
      <c r="I225" s="31">
        <v>1920.62</v>
      </c>
      <c r="J225" s="31">
        <v>0</v>
      </c>
      <c r="K225" s="6" t="str">
        <f t="shared" si="7"/>
        <v>180 &lt;= 360 DIAS</v>
      </c>
      <c r="L225" s="7" t="str">
        <f>_xlfn.CONCAT(TEXT(MONTH(DATA[[#This Row],[FECHA DE VENCIMIENTO]]),"00"),"-",TEXT(DATA[[#This Row],[FECHA DE VENCIMIENTO]],"MMM"))</f>
        <v>02-Feb</v>
      </c>
    </row>
    <row r="226" spans="1:12" hidden="1" x14ac:dyDescent="0.3">
      <c r="A226" s="3">
        <v>44620</v>
      </c>
      <c r="B226" s="3">
        <v>44617</v>
      </c>
      <c r="C226" s="4">
        <f t="shared" si="6"/>
        <v>293</v>
      </c>
      <c r="D226" s="5" t="s">
        <v>263</v>
      </c>
      <c r="E226" s="5">
        <v>20606113758</v>
      </c>
      <c r="F226" s="5" t="s">
        <v>174</v>
      </c>
      <c r="G226" s="5" t="s">
        <v>13</v>
      </c>
      <c r="H226" s="5" t="s">
        <v>7</v>
      </c>
      <c r="I226" s="31">
        <v>1192.56</v>
      </c>
      <c r="J226" s="31">
        <v>0</v>
      </c>
      <c r="K226" s="6" t="str">
        <f t="shared" si="7"/>
        <v>180 &lt;= 360 DIAS</v>
      </c>
      <c r="L226" s="7" t="str">
        <f>_xlfn.CONCAT(TEXT(MONTH(DATA[[#This Row],[FECHA DE VENCIMIENTO]]),"00"),"-",TEXT(DATA[[#This Row],[FECHA DE VENCIMIENTO]],"MMM"))</f>
        <v>02-Feb</v>
      </c>
    </row>
    <row r="227" spans="1:12" hidden="1" x14ac:dyDescent="0.3">
      <c r="A227" s="3">
        <v>44620</v>
      </c>
      <c r="B227" s="3">
        <v>44618</v>
      </c>
      <c r="C227" s="4">
        <f t="shared" si="6"/>
        <v>292</v>
      </c>
      <c r="D227" s="5" t="s">
        <v>264</v>
      </c>
      <c r="E227" s="5">
        <v>10771472236</v>
      </c>
      <c r="F227" s="5" t="s">
        <v>265</v>
      </c>
      <c r="G227" s="5" t="s">
        <v>33</v>
      </c>
      <c r="H227" s="5" t="s">
        <v>29</v>
      </c>
      <c r="I227" s="31">
        <v>0</v>
      </c>
      <c r="J227" s="31">
        <v>604.16</v>
      </c>
      <c r="K227" s="6" t="str">
        <f t="shared" si="7"/>
        <v>180 &lt;= 360 DIAS</v>
      </c>
      <c r="L227" s="7" t="str">
        <f>_xlfn.CONCAT(TEXT(MONTH(DATA[[#This Row],[FECHA DE VENCIMIENTO]]),"00"),"-",TEXT(DATA[[#This Row],[FECHA DE VENCIMIENTO]],"MMM"))</f>
        <v>02-Feb</v>
      </c>
    </row>
    <row r="228" spans="1:12" hidden="1" x14ac:dyDescent="0.3">
      <c r="A228" s="3">
        <v>44620</v>
      </c>
      <c r="B228" s="3">
        <v>44622</v>
      </c>
      <c r="C228" s="4">
        <f t="shared" si="6"/>
        <v>288</v>
      </c>
      <c r="D228" s="5" t="s">
        <v>266</v>
      </c>
      <c r="E228" s="5">
        <v>20479436470</v>
      </c>
      <c r="F228" s="5" t="s">
        <v>241</v>
      </c>
      <c r="G228" s="5" t="s">
        <v>58</v>
      </c>
      <c r="H228" s="5" t="s">
        <v>7</v>
      </c>
      <c r="I228" s="31">
        <v>1779.02</v>
      </c>
      <c r="J228" s="31">
        <v>0</v>
      </c>
      <c r="K228" s="6" t="str">
        <f t="shared" si="7"/>
        <v>180 &lt;= 360 DIAS</v>
      </c>
      <c r="L228" s="7" t="str">
        <f>_xlfn.CONCAT(TEXT(MONTH(DATA[[#This Row],[FECHA DE VENCIMIENTO]]),"00"),"-",TEXT(DATA[[#This Row],[FECHA DE VENCIMIENTO]],"MMM"))</f>
        <v>03-Mar</v>
      </c>
    </row>
    <row r="229" spans="1:12" hidden="1" x14ac:dyDescent="0.3">
      <c r="A229" s="3">
        <v>44620</v>
      </c>
      <c r="B229" s="3">
        <v>44622</v>
      </c>
      <c r="C229" s="4">
        <f t="shared" si="6"/>
        <v>288</v>
      </c>
      <c r="D229" s="5" t="s">
        <v>267</v>
      </c>
      <c r="E229" s="5">
        <v>20479436470</v>
      </c>
      <c r="F229" s="5" t="s">
        <v>241</v>
      </c>
      <c r="G229" s="5" t="s">
        <v>58</v>
      </c>
      <c r="H229" s="5" t="s">
        <v>29</v>
      </c>
      <c r="I229" s="31">
        <v>0</v>
      </c>
      <c r="J229" s="31">
        <v>135.91</v>
      </c>
      <c r="K229" s="6" t="str">
        <f t="shared" si="7"/>
        <v>180 &lt;= 360 DIAS</v>
      </c>
      <c r="L229" s="7" t="str">
        <f>_xlfn.CONCAT(TEXT(MONTH(DATA[[#This Row],[FECHA DE VENCIMIENTO]]),"00"),"-",TEXT(DATA[[#This Row],[FECHA DE VENCIMIENTO]],"MMM"))</f>
        <v>03-Mar</v>
      </c>
    </row>
    <row r="230" spans="1:12" hidden="1" x14ac:dyDescent="0.3">
      <c r="A230" s="3">
        <v>44620</v>
      </c>
      <c r="B230" s="3">
        <v>44624</v>
      </c>
      <c r="C230" s="4">
        <f t="shared" si="6"/>
        <v>286</v>
      </c>
      <c r="D230" s="5" t="s">
        <v>268</v>
      </c>
      <c r="E230" s="5">
        <v>20519902428</v>
      </c>
      <c r="F230" s="5" t="s">
        <v>225</v>
      </c>
      <c r="G230" s="5" t="s">
        <v>33</v>
      </c>
      <c r="H230" s="5" t="s">
        <v>29</v>
      </c>
      <c r="I230" s="31">
        <v>0</v>
      </c>
      <c r="J230" s="31">
        <v>2721.08</v>
      </c>
      <c r="K230" s="6" t="str">
        <f t="shared" si="7"/>
        <v>180 &lt;= 360 DIAS</v>
      </c>
      <c r="L230" s="7" t="str">
        <f>_xlfn.CONCAT(TEXT(MONTH(DATA[[#This Row],[FECHA DE VENCIMIENTO]]),"00"),"-",TEXT(DATA[[#This Row],[FECHA DE VENCIMIENTO]],"MMM"))</f>
        <v>03-Mar</v>
      </c>
    </row>
    <row r="231" spans="1:12" hidden="1" x14ac:dyDescent="0.3">
      <c r="A231" s="3">
        <v>44620</v>
      </c>
      <c r="B231" s="3">
        <v>44625</v>
      </c>
      <c r="C231" s="4">
        <f t="shared" si="6"/>
        <v>285</v>
      </c>
      <c r="D231" s="5" t="s">
        <v>269</v>
      </c>
      <c r="E231" s="5">
        <v>20479436470</v>
      </c>
      <c r="F231" s="5" t="s">
        <v>241</v>
      </c>
      <c r="G231" s="5" t="s">
        <v>58</v>
      </c>
      <c r="H231" s="5" t="s">
        <v>7</v>
      </c>
      <c r="I231" s="31">
        <v>1920.62</v>
      </c>
      <c r="J231" s="31">
        <v>0</v>
      </c>
      <c r="K231" s="6" t="str">
        <f t="shared" si="7"/>
        <v>180 &lt;= 360 DIAS</v>
      </c>
      <c r="L231" s="7" t="str">
        <f>_xlfn.CONCAT(TEXT(MONTH(DATA[[#This Row],[FECHA DE VENCIMIENTO]]),"00"),"-",TEXT(DATA[[#This Row],[FECHA DE VENCIMIENTO]],"MMM"))</f>
        <v>03-Mar</v>
      </c>
    </row>
    <row r="232" spans="1:12" hidden="1" x14ac:dyDescent="0.3">
      <c r="A232" s="3">
        <v>44620</v>
      </c>
      <c r="B232" s="3">
        <v>44626</v>
      </c>
      <c r="C232" s="4">
        <f t="shared" si="6"/>
        <v>284</v>
      </c>
      <c r="D232" s="5" t="s">
        <v>270</v>
      </c>
      <c r="E232" s="5">
        <v>20601317266</v>
      </c>
      <c r="F232" s="5" t="s">
        <v>227</v>
      </c>
      <c r="G232" s="5" t="s">
        <v>33</v>
      </c>
      <c r="H232" s="5" t="s">
        <v>7</v>
      </c>
      <c r="I232" s="31">
        <v>5915.6</v>
      </c>
      <c r="J232" s="31">
        <v>0</v>
      </c>
      <c r="K232" s="6" t="str">
        <f t="shared" si="7"/>
        <v>180 &lt;= 360 DIAS</v>
      </c>
      <c r="L232" s="7" t="str">
        <f>_xlfn.CONCAT(TEXT(MONTH(DATA[[#This Row],[FECHA DE VENCIMIENTO]]),"00"),"-",TEXT(DATA[[#This Row],[FECHA DE VENCIMIENTO]],"MMM"))</f>
        <v>03-Mar</v>
      </c>
    </row>
    <row r="233" spans="1:12" hidden="1" x14ac:dyDescent="0.3">
      <c r="A233" s="3">
        <v>44620</v>
      </c>
      <c r="B233" s="3">
        <v>44627</v>
      </c>
      <c r="C233" s="4">
        <f t="shared" si="6"/>
        <v>283</v>
      </c>
      <c r="D233" s="5" t="s">
        <v>271</v>
      </c>
      <c r="E233" s="5">
        <v>20538241378</v>
      </c>
      <c r="F233" s="5" t="s">
        <v>236</v>
      </c>
      <c r="G233" s="5" t="s">
        <v>13</v>
      </c>
      <c r="H233" s="5" t="s">
        <v>29</v>
      </c>
      <c r="I233" s="31">
        <v>0</v>
      </c>
      <c r="J233" s="31">
        <v>329.22</v>
      </c>
      <c r="K233" s="6" t="str">
        <f t="shared" si="7"/>
        <v>180 &lt;= 360 DIAS</v>
      </c>
      <c r="L233" s="7" t="str">
        <f>_xlfn.CONCAT(TEXT(MONTH(DATA[[#This Row],[FECHA DE VENCIMIENTO]]),"00"),"-",TEXT(DATA[[#This Row],[FECHA DE VENCIMIENTO]],"MMM"))</f>
        <v>03-Mar</v>
      </c>
    </row>
    <row r="234" spans="1:12" hidden="1" x14ac:dyDescent="0.3">
      <c r="A234" s="3">
        <v>44620</v>
      </c>
      <c r="B234" s="3">
        <v>44630</v>
      </c>
      <c r="C234" s="4">
        <f t="shared" si="6"/>
        <v>280</v>
      </c>
      <c r="D234" s="5" t="s">
        <v>274</v>
      </c>
      <c r="E234" s="5">
        <v>20608918818</v>
      </c>
      <c r="F234" s="5" t="s">
        <v>273</v>
      </c>
      <c r="G234" s="5" t="s">
        <v>33</v>
      </c>
      <c r="H234" s="5" t="s">
        <v>29</v>
      </c>
      <c r="I234" s="31">
        <v>0</v>
      </c>
      <c r="J234" s="31">
        <v>236</v>
      </c>
      <c r="K234" s="6" t="str">
        <f t="shared" si="7"/>
        <v>180 &lt;= 360 DIAS</v>
      </c>
      <c r="L234" s="7" t="str">
        <f>_xlfn.CONCAT(TEXT(MONTH(DATA[[#This Row],[FECHA DE VENCIMIENTO]]),"00"),"-",TEXT(DATA[[#This Row],[FECHA DE VENCIMIENTO]],"MMM"))</f>
        <v>03-Mar</v>
      </c>
    </row>
    <row r="235" spans="1:12" hidden="1" x14ac:dyDescent="0.3">
      <c r="A235" s="3">
        <v>44620</v>
      </c>
      <c r="B235" s="3">
        <v>44630</v>
      </c>
      <c r="C235" s="4">
        <f t="shared" si="6"/>
        <v>280</v>
      </c>
      <c r="D235" s="5" t="s">
        <v>272</v>
      </c>
      <c r="E235" s="5">
        <v>20608918818</v>
      </c>
      <c r="F235" s="5" t="s">
        <v>273</v>
      </c>
      <c r="G235" s="5" t="s">
        <v>33</v>
      </c>
      <c r="H235" s="5" t="s">
        <v>29</v>
      </c>
      <c r="I235" s="31">
        <v>0</v>
      </c>
      <c r="J235" s="31">
        <v>1103.3</v>
      </c>
      <c r="K235" s="6" t="str">
        <f t="shared" si="7"/>
        <v>180 &lt;= 360 DIAS</v>
      </c>
      <c r="L235" s="7" t="str">
        <f>_xlfn.CONCAT(TEXT(MONTH(DATA[[#This Row],[FECHA DE VENCIMIENTO]]),"00"),"-",TEXT(DATA[[#This Row],[FECHA DE VENCIMIENTO]],"MMM"))</f>
        <v>03-Mar</v>
      </c>
    </row>
    <row r="236" spans="1:12" hidden="1" x14ac:dyDescent="0.3">
      <c r="A236" s="3">
        <v>44620</v>
      </c>
      <c r="B236" s="3">
        <v>44630</v>
      </c>
      <c r="C236" s="4">
        <f t="shared" si="6"/>
        <v>280</v>
      </c>
      <c r="D236" s="5" t="s">
        <v>276</v>
      </c>
      <c r="E236" s="5">
        <v>20608918818</v>
      </c>
      <c r="F236" s="5" t="s">
        <v>273</v>
      </c>
      <c r="G236" s="5" t="s">
        <v>33</v>
      </c>
      <c r="H236" s="5" t="s">
        <v>7</v>
      </c>
      <c r="I236" s="31">
        <v>860</v>
      </c>
      <c r="J236" s="31">
        <v>0</v>
      </c>
      <c r="K236" s="6" t="str">
        <f t="shared" si="7"/>
        <v>180 &lt;= 360 DIAS</v>
      </c>
      <c r="L236" s="7" t="str">
        <f>_xlfn.CONCAT(TEXT(MONTH(DATA[[#This Row],[FECHA DE VENCIMIENTO]]),"00"),"-",TEXT(DATA[[#This Row],[FECHA DE VENCIMIENTO]],"MMM"))</f>
        <v>03-Mar</v>
      </c>
    </row>
    <row r="237" spans="1:12" hidden="1" x14ac:dyDescent="0.3">
      <c r="A237" s="3">
        <v>44630</v>
      </c>
      <c r="B237" s="3">
        <v>44630</v>
      </c>
      <c r="C237" s="4">
        <f t="shared" si="6"/>
        <v>280</v>
      </c>
      <c r="D237" s="5" t="s">
        <v>275</v>
      </c>
      <c r="E237" s="5">
        <v>20479436470</v>
      </c>
      <c r="F237" s="5" t="s">
        <v>241</v>
      </c>
      <c r="G237" s="5" t="s">
        <v>58</v>
      </c>
      <c r="H237" s="5" t="s">
        <v>7</v>
      </c>
      <c r="I237" s="31">
        <v>2122.9499999999998</v>
      </c>
      <c r="J237" s="31">
        <v>0</v>
      </c>
      <c r="K237" s="6" t="str">
        <f t="shared" si="7"/>
        <v>180 &lt;= 360 DIAS</v>
      </c>
      <c r="L237" s="7" t="str">
        <f>_xlfn.CONCAT(TEXT(MONTH(DATA[[#This Row],[FECHA DE VENCIMIENTO]]),"00"),"-",TEXT(DATA[[#This Row],[FECHA DE VENCIMIENTO]],"MMM"))</f>
        <v>03-Mar</v>
      </c>
    </row>
    <row r="238" spans="1:12" hidden="1" x14ac:dyDescent="0.3">
      <c r="A238" s="3">
        <v>44631</v>
      </c>
      <c r="B238" s="3">
        <v>44631</v>
      </c>
      <c r="C238" s="4">
        <f t="shared" si="6"/>
        <v>279</v>
      </c>
      <c r="D238" s="5" t="s">
        <v>278</v>
      </c>
      <c r="E238" s="5">
        <v>20601317266</v>
      </c>
      <c r="F238" s="5" t="s">
        <v>227</v>
      </c>
      <c r="G238" s="5" t="s">
        <v>33</v>
      </c>
      <c r="H238" s="5" t="s">
        <v>29</v>
      </c>
      <c r="I238" s="31">
        <v>0</v>
      </c>
      <c r="J238" s="31">
        <v>2006</v>
      </c>
      <c r="K238" s="6" t="str">
        <f t="shared" si="7"/>
        <v>180 &lt;= 360 DIAS</v>
      </c>
      <c r="L238" s="7" t="str">
        <f>_xlfn.CONCAT(TEXT(MONTH(DATA[[#This Row],[FECHA DE VENCIMIENTO]]),"00"),"-",TEXT(DATA[[#This Row],[FECHA DE VENCIMIENTO]],"MMM"))</f>
        <v>03-Mar</v>
      </c>
    </row>
    <row r="239" spans="1:12" hidden="1" x14ac:dyDescent="0.3">
      <c r="A239" s="3">
        <v>44631</v>
      </c>
      <c r="B239" s="3">
        <v>44631</v>
      </c>
      <c r="C239" s="4">
        <f t="shared" si="6"/>
        <v>279</v>
      </c>
      <c r="D239" s="5" t="s">
        <v>279</v>
      </c>
      <c r="E239" s="5">
        <v>20601317266</v>
      </c>
      <c r="F239" s="5" t="s">
        <v>227</v>
      </c>
      <c r="G239" s="5" t="s">
        <v>33</v>
      </c>
      <c r="H239" s="5" t="s">
        <v>7</v>
      </c>
      <c r="I239" s="31">
        <v>915.87</v>
      </c>
      <c r="J239" s="31">
        <v>0</v>
      </c>
      <c r="K239" s="6" t="str">
        <f t="shared" si="7"/>
        <v>180 &lt;= 360 DIAS</v>
      </c>
      <c r="L239" s="7" t="str">
        <f>_xlfn.CONCAT(TEXT(MONTH(DATA[[#This Row],[FECHA DE VENCIMIENTO]]),"00"),"-",TEXT(DATA[[#This Row],[FECHA DE VENCIMIENTO]],"MMM"))</f>
        <v>03-Mar</v>
      </c>
    </row>
    <row r="240" spans="1:12" hidden="1" x14ac:dyDescent="0.3">
      <c r="A240" s="3">
        <v>44620</v>
      </c>
      <c r="B240" s="3">
        <v>44631</v>
      </c>
      <c r="C240" s="4">
        <f t="shared" si="6"/>
        <v>279</v>
      </c>
      <c r="D240" s="5" t="s">
        <v>277</v>
      </c>
      <c r="E240" s="5">
        <v>20479436470</v>
      </c>
      <c r="F240" s="5" t="s">
        <v>241</v>
      </c>
      <c r="G240" s="5" t="s">
        <v>58</v>
      </c>
      <c r="H240" s="5" t="s">
        <v>7</v>
      </c>
      <c r="I240" s="31">
        <v>1637.42</v>
      </c>
      <c r="J240" s="31">
        <v>0</v>
      </c>
      <c r="K240" s="6" t="str">
        <f t="shared" si="7"/>
        <v>180 &lt;= 360 DIAS</v>
      </c>
      <c r="L240" s="7" t="str">
        <f>_xlfn.CONCAT(TEXT(MONTH(DATA[[#This Row],[FECHA DE VENCIMIENTO]]),"00"),"-",TEXT(DATA[[#This Row],[FECHA DE VENCIMIENTO]],"MMM"))</f>
        <v>03-Mar</v>
      </c>
    </row>
    <row r="241" spans="1:12" hidden="1" x14ac:dyDescent="0.3">
      <c r="A241" s="3">
        <v>44620</v>
      </c>
      <c r="B241" s="3">
        <v>44633</v>
      </c>
      <c r="C241" s="4">
        <f t="shared" si="6"/>
        <v>277</v>
      </c>
      <c r="D241" s="5" t="s">
        <v>280</v>
      </c>
      <c r="E241" s="5">
        <v>20538241378</v>
      </c>
      <c r="F241" s="5" t="s">
        <v>236</v>
      </c>
      <c r="G241" s="5" t="s">
        <v>13</v>
      </c>
      <c r="H241" s="5" t="s">
        <v>29</v>
      </c>
      <c r="I241" s="31">
        <v>0</v>
      </c>
      <c r="J241" s="31">
        <v>345.15</v>
      </c>
      <c r="K241" s="6" t="str">
        <f t="shared" si="7"/>
        <v>180 &lt;= 360 DIAS</v>
      </c>
      <c r="L241" s="7" t="str">
        <f>_xlfn.CONCAT(TEXT(MONTH(DATA[[#This Row],[FECHA DE VENCIMIENTO]]),"00"),"-",TEXT(DATA[[#This Row],[FECHA DE VENCIMIENTO]],"MMM"))</f>
        <v>03-Mar</v>
      </c>
    </row>
    <row r="242" spans="1:12" hidden="1" x14ac:dyDescent="0.3">
      <c r="A242" s="3">
        <v>44637</v>
      </c>
      <c r="B242" s="3">
        <v>44637</v>
      </c>
      <c r="C242" s="4">
        <f t="shared" si="6"/>
        <v>273</v>
      </c>
      <c r="D242" s="5" t="s">
        <v>282</v>
      </c>
      <c r="E242" s="5">
        <v>20479436470</v>
      </c>
      <c r="F242" s="5" t="s">
        <v>241</v>
      </c>
      <c r="G242" s="5" t="s">
        <v>58</v>
      </c>
      <c r="H242" s="5" t="s">
        <v>29</v>
      </c>
      <c r="I242" s="31">
        <v>0</v>
      </c>
      <c r="J242" s="31">
        <v>145.44999999999999</v>
      </c>
      <c r="K242" s="6" t="str">
        <f t="shared" si="7"/>
        <v>180 &lt;= 360 DIAS</v>
      </c>
      <c r="L242" s="7" t="str">
        <f>_xlfn.CONCAT(TEXT(MONTH(DATA[[#This Row],[FECHA DE VENCIMIENTO]]),"00"),"-",TEXT(DATA[[#This Row],[FECHA DE VENCIMIENTO]],"MMM"))</f>
        <v>03-Mar</v>
      </c>
    </row>
    <row r="243" spans="1:12" hidden="1" x14ac:dyDescent="0.3">
      <c r="A243" s="3">
        <v>44637</v>
      </c>
      <c r="B243" s="3">
        <v>44637</v>
      </c>
      <c r="C243" s="4">
        <f t="shared" si="6"/>
        <v>273</v>
      </c>
      <c r="D243" s="5" t="s">
        <v>281</v>
      </c>
      <c r="E243" s="5">
        <v>20479436470</v>
      </c>
      <c r="F243" s="5" t="s">
        <v>241</v>
      </c>
      <c r="G243" s="5" t="s">
        <v>58</v>
      </c>
      <c r="H243" s="5" t="s">
        <v>7</v>
      </c>
      <c r="I243" s="31">
        <v>2425.23</v>
      </c>
      <c r="J243" s="31">
        <v>0</v>
      </c>
      <c r="K243" s="6" t="str">
        <f t="shared" si="7"/>
        <v>180 &lt;= 360 DIAS</v>
      </c>
      <c r="L243" s="7" t="str">
        <f>_xlfn.CONCAT(TEXT(MONTH(DATA[[#This Row],[FECHA DE VENCIMIENTO]]),"00"),"-",TEXT(DATA[[#This Row],[FECHA DE VENCIMIENTO]],"MMM"))</f>
        <v>03-Mar</v>
      </c>
    </row>
    <row r="244" spans="1:12" hidden="1" x14ac:dyDescent="0.3">
      <c r="A244" s="3">
        <v>44620</v>
      </c>
      <c r="B244" s="3">
        <v>44638</v>
      </c>
      <c r="C244" s="4">
        <f t="shared" si="6"/>
        <v>272</v>
      </c>
      <c r="D244" s="5" t="s">
        <v>283</v>
      </c>
      <c r="E244" s="5">
        <v>20479436470</v>
      </c>
      <c r="F244" s="5" t="s">
        <v>241</v>
      </c>
      <c r="G244" s="5" t="s">
        <v>58</v>
      </c>
      <c r="H244" s="5" t="s">
        <v>7</v>
      </c>
      <c r="I244" s="31">
        <v>1637.42</v>
      </c>
      <c r="J244" s="31">
        <v>0</v>
      </c>
      <c r="K244" s="6" t="str">
        <f t="shared" si="7"/>
        <v>180 &lt;= 360 DIAS</v>
      </c>
      <c r="L244" s="7" t="str">
        <f>_xlfn.CONCAT(TEXT(MONTH(DATA[[#This Row],[FECHA DE VENCIMIENTO]]),"00"),"-",TEXT(DATA[[#This Row],[FECHA DE VENCIMIENTO]],"MMM"))</f>
        <v>03-Mar</v>
      </c>
    </row>
    <row r="245" spans="1:12" hidden="1" x14ac:dyDescent="0.3">
      <c r="A245" s="3">
        <v>44620</v>
      </c>
      <c r="B245" s="3">
        <v>44639</v>
      </c>
      <c r="C245" s="4">
        <f t="shared" si="6"/>
        <v>271</v>
      </c>
      <c r="D245" s="5" t="s">
        <v>285</v>
      </c>
      <c r="E245" s="5">
        <v>20538241378</v>
      </c>
      <c r="F245" s="5" t="s">
        <v>236</v>
      </c>
      <c r="G245" s="5" t="s">
        <v>13</v>
      </c>
      <c r="H245" s="5" t="s">
        <v>29</v>
      </c>
      <c r="I245" s="31">
        <v>0</v>
      </c>
      <c r="J245" s="31">
        <v>230.1</v>
      </c>
      <c r="K245" s="6" t="str">
        <f t="shared" si="7"/>
        <v>180 &lt;= 360 DIAS</v>
      </c>
      <c r="L245" s="7" t="str">
        <f>_xlfn.CONCAT(TEXT(MONTH(DATA[[#This Row],[FECHA DE VENCIMIENTO]]),"00"),"-",TEXT(DATA[[#This Row],[FECHA DE VENCIMIENTO]],"MMM"))</f>
        <v>03-Mar</v>
      </c>
    </row>
    <row r="246" spans="1:12" hidden="1" x14ac:dyDescent="0.3">
      <c r="A246" s="3">
        <v>44620</v>
      </c>
      <c r="B246" s="3">
        <v>44639</v>
      </c>
      <c r="C246" s="4">
        <f t="shared" si="6"/>
        <v>271</v>
      </c>
      <c r="D246" s="5" t="s">
        <v>284</v>
      </c>
      <c r="E246" s="5">
        <v>20538241378</v>
      </c>
      <c r="F246" s="5" t="s">
        <v>236</v>
      </c>
      <c r="G246" s="5" t="s">
        <v>13</v>
      </c>
      <c r="H246" s="5" t="s">
        <v>29</v>
      </c>
      <c r="I246" s="31">
        <v>0</v>
      </c>
      <c r="J246" s="31">
        <v>424.8</v>
      </c>
      <c r="K246" s="6" t="str">
        <f t="shared" si="7"/>
        <v>180 &lt;= 360 DIAS</v>
      </c>
      <c r="L246" s="7" t="str">
        <f>_xlfn.CONCAT(TEXT(MONTH(DATA[[#This Row],[FECHA DE VENCIMIENTO]]),"00"),"-",TEXT(DATA[[#This Row],[FECHA DE VENCIMIENTO]],"MMM"))</f>
        <v>03-Mar</v>
      </c>
    </row>
    <row r="247" spans="1:12" hidden="1" x14ac:dyDescent="0.3">
      <c r="A247" s="3">
        <v>44646</v>
      </c>
      <c r="B247" s="3">
        <v>44646</v>
      </c>
      <c r="C247" s="4">
        <f t="shared" si="6"/>
        <v>264</v>
      </c>
      <c r="D247" s="5" t="s">
        <v>286</v>
      </c>
      <c r="E247" s="5">
        <v>20604910766</v>
      </c>
      <c r="F247" s="5" t="s">
        <v>287</v>
      </c>
      <c r="G247" s="5" t="s">
        <v>13</v>
      </c>
      <c r="H247" s="5" t="s">
        <v>7</v>
      </c>
      <c r="I247" s="31">
        <v>8260</v>
      </c>
      <c r="J247" s="31">
        <v>0</v>
      </c>
      <c r="K247" s="6" t="str">
        <f t="shared" si="7"/>
        <v>180 &lt;= 360 DIAS</v>
      </c>
      <c r="L247" s="7" t="str">
        <f>_xlfn.CONCAT(TEXT(MONTH(DATA[[#This Row],[FECHA DE VENCIMIENTO]]),"00"),"-",TEXT(DATA[[#This Row],[FECHA DE VENCIMIENTO]],"MMM"))</f>
        <v>03-Mar</v>
      </c>
    </row>
    <row r="248" spans="1:12" hidden="1" x14ac:dyDescent="0.3">
      <c r="A248" s="3">
        <v>44620</v>
      </c>
      <c r="B248" s="3">
        <v>44648</v>
      </c>
      <c r="C248" s="4">
        <f t="shared" si="6"/>
        <v>262</v>
      </c>
      <c r="D248" s="5" t="s">
        <v>288</v>
      </c>
      <c r="E248" s="5">
        <v>20538241378</v>
      </c>
      <c r="F248" s="5" t="s">
        <v>236</v>
      </c>
      <c r="G248" s="5" t="s">
        <v>13</v>
      </c>
      <c r="H248" s="5" t="s">
        <v>29</v>
      </c>
      <c r="I248" s="31">
        <v>0</v>
      </c>
      <c r="J248" s="31">
        <v>1699.2</v>
      </c>
      <c r="K248" s="6" t="str">
        <f t="shared" si="7"/>
        <v>180 &lt;= 360 DIAS</v>
      </c>
      <c r="L248" s="7" t="str">
        <f>_xlfn.CONCAT(TEXT(MONTH(DATA[[#This Row],[FECHA DE VENCIMIENTO]]),"00"),"-",TEXT(DATA[[#This Row],[FECHA DE VENCIMIENTO]],"MMM"))</f>
        <v>03-Mar</v>
      </c>
    </row>
    <row r="249" spans="1:12" hidden="1" x14ac:dyDescent="0.3">
      <c r="A249" s="3">
        <v>44620</v>
      </c>
      <c r="B249" s="3">
        <v>44651</v>
      </c>
      <c r="C249" s="4">
        <f t="shared" si="6"/>
        <v>259</v>
      </c>
      <c r="D249" s="5" t="s">
        <v>289</v>
      </c>
      <c r="E249" s="5">
        <v>20519902428</v>
      </c>
      <c r="F249" s="5" t="s">
        <v>225</v>
      </c>
      <c r="G249" s="5" t="s">
        <v>33</v>
      </c>
      <c r="H249" s="5" t="s">
        <v>29</v>
      </c>
      <c r="I249" s="31">
        <v>0</v>
      </c>
      <c r="J249" s="31">
        <v>2947.64</v>
      </c>
      <c r="K249" s="6" t="str">
        <f t="shared" si="7"/>
        <v>180 &lt;= 360 DIAS</v>
      </c>
      <c r="L249" s="7" t="str">
        <f>_xlfn.CONCAT(TEXT(MONTH(DATA[[#This Row],[FECHA DE VENCIMIENTO]]),"00"),"-",TEXT(DATA[[#This Row],[FECHA DE VENCIMIENTO]],"MMM"))</f>
        <v>03-Mar</v>
      </c>
    </row>
    <row r="250" spans="1:12" hidden="1" x14ac:dyDescent="0.3">
      <c r="A250" s="3">
        <v>44637</v>
      </c>
      <c r="B250" s="3">
        <v>44652</v>
      </c>
      <c r="C250" s="4">
        <f t="shared" si="6"/>
        <v>258</v>
      </c>
      <c r="D250" s="5" t="s">
        <v>290</v>
      </c>
      <c r="E250" s="5">
        <v>20608918818</v>
      </c>
      <c r="F250" s="5" t="s">
        <v>273</v>
      </c>
      <c r="G250" s="5" t="s">
        <v>33</v>
      </c>
      <c r="H250" s="5" t="s">
        <v>29</v>
      </c>
      <c r="I250" s="31">
        <v>0</v>
      </c>
      <c r="J250" s="31">
        <v>1063.18</v>
      </c>
      <c r="K250" s="6" t="str">
        <f t="shared" si="7"/>
        <v>180 &lt;= 360 DIAS</v>
      </c>
      <c r="L250" s="7" t="str">
        <f>_xlfn.CONCAT(TEXT(MONTH(DATA[[#This Row],[FECHA DE VENCIMIENTO]]),"00"),"-",TEXT(DATA[[#This Row],[FECHA DE VENCIMIENTO]],"MMM"))</f>
        <v>04-Abr</v>
      </c>
    </row>
    <row r="251" spans="1:12" hidden="1" x14ac:dyDescent="0.3">
      <c r="A251" s="3">
        <v>44638</v>
      </c>
      <c r="B251" s="3">
        <v>44653</v>
      </c>
      <c r="C251" s="4">
        <f t="shared" si="6"/>
        <v>257</v>
      </c>
      <c r="D251" s="5" t="s">
        <v>291</v>
      </c>
      <c r="E251" s="5">
        <v>20608918818</v>
      </c>
      <c r="F251" s="5" t="s">
        <v>273</v>
      </c>
      <c r="G251" s="5" t="s">
        <v>33</v>
      </c>
      <c r="H251" s="5" t="s">
        <v>29</v>
      </c>
      <c r="I251" s="31">
        <v>0</v>
      </c>
      <c r="J251" s="31">
        <v>106.2</v>
      </c>
      <c r="K251" s="6" t="str">
        <f t="shared" si="7"/>
        <v>180 &lt;= 360 DIAS</v>
      </c>
      <c r="L251" s="7" t="str">
        <f>_xlfn.CONCAT(TEXT(MONTH(DATA[[#This Row],[FECHA DE VENCIMIENTO]]),"00"),"-",TEXT(DATA[[#This Row],[FECHA DE VENCIMIENTO]],"MMM"))</f>
        <v>04-Abr</v>
      </c>
    </row>
    <row r="252" spans="1:12" hidden="1" x14ac:dyDescent="0.3">
      <c r="A252" s="3">
        <v>44639</v>
      </c>
      <c r="B252" s="3">
        <v>44654</v>
      </c>
      <c r="C252" s="4">
        <f t="shared" si="6"/>
        <v>256</v>
      </c>
      <c r="D252" s="5" t="s">
        <v>292</v>
      </c>
      <c r="E252" s="5">
        <v>20608918818</v>
      </c>
      <c r="F252" s="5" t="s">
        <v>273</v>
      </c>
      <c r="G252" s="5" t="s">
        <v>33</v>
      </c>
      <c r="H252" s="5" t="s">
        <v>29</v>
      </c>
      <c r="I252" s="31">
        <v>0</v>
      </c>
      <c r="J252" s="31">
        <v>236</v>
      </c>
      <c r="K252" s="6" t="str">
        <f t="shared" si="7"/>
        <v>180 &lt;= 360 DIAS</v>
      </c>
      <c r="L252" s="7" t="str">
        <f>_xlfn.CONCAT(TEXT(MONTH(DATA[[#This Row],[FECHA DE VENCIMIENTO]]),"00"),"-",TEXT(DATA[[#This Row],[FECHA DE VENCIMIENTO]],"MMM"))</f>
        <v>04-Abr</v>
      </c>
    </row>
    <row r="253" spans="1:12" hidden="1" x14ac:dyDescent="0.3">
      <c r="A253" s="3">
        <v>44620</v>
      </c>
      <c r="B253" s="3">
        <v>44662</v>
      </c>
      <c r="C253" s="4">
        <f t="shared" si="6"/>
        <v>248</v>
      </c>
      <c r="D253" s="5" t="s">
        <v>293</v>
      </c>
      <c r="E253" s="5">
        <v>20519902428</v>
      </c>
      <c r="F253" s="5" t="s">
        <v>225</v>
      </c>
      <c r="G253" s="5" t="s">
        <v>33</v>
      </c>
      <c r="H253" s="5" t="s">
        <v>7</v>
      </c>
      <c r="I253" s="31">
        <v>1419.2</v>
      </c>
      <c r="J253" s="31">
        <v>0</v>
      </c>
      <c r="K253" s="6" t="str">
        <f t="shared" si="7"/>
        <v>180 &lt;= 360 DIAS</v>
      </c>
      <c r="L253" s="7" t="str">
        <f>_xlfn.CONCAT(TEXT(MONTH(DATA[[#This Row],[FECHA DE VENCIMIENTO]]),"00"),"-",TEXT(DATA[[#This Row],[FECHA DE VENCIMIENTO]],"MMM"))</f>
        <v>04-Abr</v>
      </c>
    </row>
    <row r="254" spans="1:12" hidden="1" x14ac:dyDescent="0.3">
      <c r="A254" s="3">
        <v>44651</v>
      </c>
      <c r="B254" s="3">
        <v>44666</v>
      </c>
      <c r="C254" s="4">
        <f t="shared" si="6"/>
        <v>244</v>
      </c>
      <c r="D254" s="5" t="s">
        <v>298</v>
      </c>
      <c r="E254" s="5">
        <v>20602816568</v>
      </c>
      <c r="F254" s="5" t="s">
        <v>296</v>
      </c>
      <c r="G254" s="5" t="s">
        <v>16</v>
      </c>
      <c r="H254" s="5" t="s">
        <v>7</v>
      </c>
      <c r="I254" s="31">
        <v>10797</v>
      </c>
      <c r="J254" s="31">
        <v>0</v>
      </c>
      <c r="K254" s="6" t="str">
        <f t="shared" si="7"/>
        <v>180 &lt;= 360 DIAS</v>
      </c>
      <c r="L254" s="7" t="str">
        <f>_xlfn.CONCAT(TEXT(MONTH(DATA[[#This Row],[FECHA DE VENCIMIENTO]]),"00"),"-",TEXT(DATA[[#This Row],[FECHA DE VENCIMIENTO]],"MMM"))</f>
        <v>04-Abr</v>
      </c>
    </row>
    <row r="255" spans="1:12" hidden="1" x14ac:dyDescent="0.3">
      <c r="A255" s="3">
        <v>44651</v>
      </c>
      <c r="B255" s="3">
        <v>44666</v>
      </c>
      <c r="C255" s="4">
        <f t="shared" si="6"/>
        <v>244</v>
      </c>
      <c r="D255" s="5" t="s">
        <v>295</v>
      </c>
      <c r="E255" s="5">
        <v>20602816568</v>
      </c>
      <c r="F255" s="5" t="s">
        <v>296</v>
      </c>
      <c r="G255" s="5" t="s">
        <v>16</v>
      </c>
      <c r="H255" s="5" t="s">
        <v>7</v>
      </c>
      <c r="I255" s="31">
        <v>10797</v>
      </c>
      <c r="J255" s="31">
        <v>0</v>
      </c>
      <c r="K255" s="6" t="str">
        <f t="shared" si="7"/>
        <v>180 &lt;= 360 DIAS</v>
      </c>
      <c r="L255" s="7" t="str">
        <f>_xlfn.CONCAT(TEXT(MONTH(DATA[[#This Row],[FECHA DE VENCIMIENTO]]),"00"),"-",TEXT(DATA[[#This Row],[FECHA DE VENCIMIENTO]],"MMM"))</f>
        <v>04-Abr</v>
      </c>
    </row>
    <row r="256" spans="1:12" hidden="1" x14ac:dyDescent="0.3">
      <c r="A256" s="3">
        <v>44651</v>
      </c>
      <c r="B256" s="3">
        <v>44666</v>
      </c>
      <c r="C256" s="4">
        <f t="shared" si="6"/>
        <v>244</v>
      </c>
      <c r="D256" s="5" t="s">
        <v>297</v>
      </c>
      <c r="E256" s="5">
        <v>20602816568</v>
      </c>
      <c r="F256" s="5" t="s">
        <v>296</v>
      </c>
      <c r="G256" s="5" t="s">
        <v>16</v>
      </c>
      <c r="H256" s="5" t="s">
        <v>7</v>
      </c>
      <c r="I256" s="31">
        <v>10797</v>
      </c>
      <c r="J256" s="31">
        <v>0</v>
      </c>
      <c r="K256" s="6" t="str">
        <f t="shared" si="7"/>
        <v>180 &lt;= 360 DIAS</v>
      </c>
      <c r="L256" s="7" t="str">
        <f>_xlfn.CONCAT(TEXT(MONTH(DATA[[#This Row],[FECHA DE VENCIMIENTO]]),"00"),"-",TEXT(DATA[[#This Row],[FECHA DE VENCIMIENTO]],"MMM"))</f>
        <v>04-Abr</v>
      </c>
    </row>
    <row r="257" spans="1:12" hidden="1" x14ac:dyDescent="0.3">
      <c r="A257" s="3">
        <v>44636</v>
      </c>
      <c r="B257" s="3">
        <v>44666</v>
      </c>
      <c r="C257" s="4">
        <f t="shared" si="6"/>
        <v>244</v>
      </c>
      <c r="D257" s="5" t="s">
        <v>294</v>
      </c>
      <c r="E257" s="5">
        <v>20538241378</v>
      </c>
      <c r="F257" s="5" t="s">
        <v>236</v>
      </c>
      <c r="G257" s="5" t="s">
        <v>13</v>
      </c>
      <c r="H257" s="5" t="s">
        <v>29</v>
      </c>
      <c r="I257" s="31">
        <v>0</v>
      </c>
      <c r="J257" s="31">
        <v>1035.45</v>
      </c>
      <c r="K257" s="6" t="str">
        <f t="shared" si="7"/>
        <v>180 &lt;= 360 DIAS</v>
      </c>
      <c r="L257" s="7" t="str">
        <f>_xlfn.CONCAT(TEXT(MONTH(DATA[[#This Row],[FECHA DE VENCIMIENTO]]),"00"),"-",TEXT(DATA[[#This Row],[FECHA DE VENCIMIENTO]],"MMM"))</f>
        <v>04-Abr</v>
      </c>
    </row>
    <row r="258" spans="1:12" hidden="1" x14ac:dyDescent="0.3">
      <c r="A258" s="3">
        <v>44627</v>
      </c>
      <c r="B258" s="3">
        <v>44672</v>
      </c>
      <c r="C258" s="4">
        <f t="shared" si="6"/>
        <v>238</v>
      </c>
      <c r="D258" s="5" t="s">
        <v>299</v>
      </c>
      <c r="E258" s="5">
        <v>20538241378</v>
      </c>
      <c r="F258" s="5" t="s">
        <v>236</v>
      </c>
      <c r="G258" s="5" t="s">
        <v>13</v>
      </c>
      <c r="H258" s="5" t="s">
        <v>29</v>
      </c>
      <c r="I258" s="31">
        <v>0</v>
      </c>
      <c r="J258" s="31">
        <v>1871.78</v>
      </c>
      <c r="K258" s="6" t="str">
        <f t="shared" si="7"/>
        <v>180 &lt;= 360 DIAS</v>
      </c>
      <c r="L258" s="7" t="str">
        <f>_xlfn.CONCAT(TEXT(MONTH(DATA[[#This Row],[FECHA DE VENCIMIENTO]]),"00"),"-",TEXT(DATA[[#This Row],[FECHA DE VENCIMIENTO]],"MMM"))</f>
        <v>04-Abr</v>
      </c>
    </row>
    <row r="259" spans="1:12" hidden="1" x14ac:dyDescent="0.3">
      <c r="A259" s="3">
        <v>44644</v>
      </c>
      <c r="B259" s="3">
        <v>44674</v>
      </c>
      <c r="C259" s="4">
        <f t="shared" si="6"/>
        <v>236</v>
      </c>
      <c r="D259" s="5" t="s">
        <v>300</v>
      </c>
      <c r="E259" s="5">
        <v>20522730212</v>
      </c>
      <c r="F259" s="5" t="s">
        <v>222</v>
      </c>
      <c r="G259" s="5" t="s">
        <v>16</v>
      </c>
      <c r="H259" s="5" t="s">
        <v>29</v>
      </c>
      <c r="I259" s="31">
        <v>0</v>
      </c>
      <c r="J259" s="31">
        <v>638.36</v>
      </c>
      <c r="K259" s="6" t="str">
        <f t="shared" si="7"/>
        <v>180 &lt;= 360 DIAS</v>
      </c>
      <c r="L259" s="7" t="str">
        <f>_xlfn.CONCAT(TEXT(MONTH(DATA[[#This Row],[FECHA DE VENCIMIENTO]]),"00"),"-",TEXT(DATA[[#This Row],[FECHA DE VENCIMIENTO]],"MMM"))</f>
        <v>04-Abr</v>
      </c>
    </row>
    <row r="260" spans="1:12" hidden="1" x14ac:dyDescent="0.3">
      <c r="A260" s="3">
        <v>44634</v>
      </c>
      <c r="B260" s="3">
        <v>44679</v>
      </c>
      <c r="C260" s="4">
        <f t="shared" ref="C260:C323" si="8">$E$2-B260</f>
        <v>231</v>
      </c>
      <c r="D260" s="5" t="s">
        <v>302</v>
      </c>
      <c r="E260" s="5">
        <v>20519902428</v>
      </c>
      <c r="F260" s="5" t="s">
        <v>225</v>
      </c>
      <c r="G260" s="5" t="s">
        <v>33</v>
      </c>
      <c r="H260" s="5" t="s">
        <v>29</v>
      </c>
      <c r="I260" s="31">
        <v>0</v>
      </c>
      <c r="J260" s="31">
        <v>2947.64</v>
      </c>
      <c r="K260" s="6" t="str">
        <f t="shared" ref="K260:K323" si="9">IF(C260&gt;180,"180 &lt;= 360 DIAS",IF(C260&gt;90,"90 &lt;= 180 DIAS",IF(C260&gt;60,"60 &lt;= 90 DIAS",IF(C260&gt;30,"30 &lt;= 60 DIAS",IF(C260&gt;15,"15 &lt;= 30 DIAS","1-POR VENCER")))))</f>
        <v>180 &lt;= 360 DIAS</v>
      </c>
      <c r="L260" s="7" t="str">
        <f>_xlfn.CONCAT(TEXT(MONTH(DATA[[#This Row],[FECHA DE VENCIMIENTO]]),"00"),"-",TEXT(DATA[[#This Row],[FECHA DE VENCIMIENTO]],"MMM"))</f>
        <v>04-Abr</v>
      </c>
    </row>
    <row r="261" spans="1:12" hidden="1" x14ac:dyDescent="0.3">
      <c r="A261" s="3">
        <v>44651</v>
      </c>
      <c r="B261" s="3">
        <v>44681</v>
      </c>
      <c r="C261" s="4">
        <f t="shared" si="8"/>
        <v>229</v>
      </c>
      <c r="D261" s="5" t="s">
        <v>303</v>
      </c>
      <c r="E261" s="5">
        <v>20601563216</v>
      </c>
      <c r="F261" s="5" t="s">
        <v>304</v>
      </c>
      <c r="G261" s="5" t="s">
        <v>13</v>
      </c>
      <c r="H261" s="5" t="s">
        <v>7</v>
      </c>
      <c r="I261" s="31">
        <v>10974</v>
      </c>
      <c r="J261" s="31">
        <v>0</v>
      </c>
      <c r="K261" s="6" t="str">
        <f t="shared" si="9"/>
        <v>180 &lt;= 360 DIAS</v>
      </c>
      <c r="L261" s="7" t="str">
        <f>_xlfn.CONCAT(TEXT(MONTH(DATA[[#This Row],[FECHA DE VENCIMIENTO]]),"00"),"-",TEXT(DATA[[#This Row],[FECHA DE VENCIMIENTO]],"MMM"))</f>
        <v>04-Abr</v>
      </c>
    </row>
    <row r="262" spans="1:12" hidden="1" x14ac:dyDescent="0.3">
      <c r="A262" s="3">
        <v>44683</v>
      </c>
      <c r="B262" s="3">
        <v>44683</v>
      </c>
      <c r="C262" s="4">
        <f t="shared" si="8"/>
        <v>227</v>
      </c>
      <c r="D262" s="5" t="s">
        <v>305</v>
      </c>
      <c r="E262" s="5">
        <v>20538241378</v>
      </c>
      <c r="F262" s="5" t="s">
        <v>236</v>
      </c>
      <c r="G262" s="5" t="s">
        <v>13</v>
      </c>
      <c r="H262" s="5" t="s">
        <v>29</v>
      </c>
      <c r="I262" s="31">
        <v>0</v>
      </c>
      <c r="J262" s="31">
        <v>1233.3399999999999</v>
      </c>
      <c r="K262" s="6" t="str">
        <f t="shared" si="9"/>
        <v>180 &lt;= 360 DIAS</v>
      </c>
      <c r="L262" s="7" t="str">
        <f>_xlfn.CONCAT(TEXT(MONTH(DATA[[#This Row],[FECHA DE VENCIMIENTO]]),"00"),"-",TEXT(DATA[[#This Row],[FECHA DE VENCIMIENTO]],"MMM"))</f>
        <v>05-May</v>
      </c>
    </row>
    <row r="263" spans="1:12" hidden="1" x14ac:dyDescent="0.3">
      <c r="A263" s="3">
        <v>44644</v>
      </c>
      <c r="B263" s="3">
        <v>44689</v>
      </c>
      <c r="C263" s="4">
        <f t="shared" si="8"/>
        <v>221</v>
      </c>
      <c r="D263" s="5" t="s">
        <v>307</v>
      </c>
      <c r="E263" s="5">
        <v>20538241378</v>
      </c>
      <c r="F263" s="5" t="s">
        <v>236</v>
      </c>
      <c r="G263" s="5" t="s">
        <v>13</v>
      </c>
      <c r="H263" s="5" t="s">
        <v>29</v>
      </c>
      <c r="I263" s="31">
        <v>0</v>
      </c>
      <c r="J263" s="31">
        <v>287.63</v>
      </c>
      <c r="K263" s="6" t="str">
        <f t="shared" si="9"/>
        <v>180 &lt;= 360 DIAS</v>
      </c>
      <c r="L263" s="7" t="str">
        <f>_xlfn.CONCAT(TEXT(MONTH(DATA[[#This Row],[FECHA DE VENCIMIENTO]]),"00"),"-",TEXT(DATA[[#This Row],[FECHA DE VENCIMIENTO]],"MMM"))</f>
        <v>05-May</v>
      </c>
    </row>
    <row r="264" spans="1:12" hidden="1" x14ac:dyDescent="0.3">
      <c r="A264" s="3">
        <v>44646</v>
      </c>
      <c r="B264" s="3">
        <v>44691</v>
      </c>
      <c r="C264" s="4">
        <f t="shared" si="8"/>
        <v>219</v>
      </c>
      <c r="D264" s="5" t="s">
        <v>308</v>
      </c>
      <c r="E264" s="5">
        <v>20538241378</v>
      </c>
      <c r="F264" s="5" t="s">
        <v>236</v>
      </c>
      <c r="G264" s="5" t="s">
        <v>13</v>
      </c>
      <c r="H264" s="5" t="s">
        <v>29</v>
      </c>
      <c r="I264" s="31">
        <v>0</v>
      </c>
      <c r="J264" s="31">
        <v>575.25</v>
      </c>
      <c r="K264" s="6" t="str">
        <f t="shared" si="9"/>
        <v>180 &lt;= 360 DIAS</v>
      </c>
      <c r="L264" s="7" t="str">
        <f>_xlfn.CONCAT(TEXT(MONTH(DATA[[#This Row],[FECHA DE VENCIMIENTO]]),"00"),"-",TEXT(DATA[[#This Row],[FECHA DE VENCIMIENTO]],"MMM"))</f>
        <v>05-May</v>
      </c>
    </row>
    <row r="265" spans="1:12" hidden="1" x14ac:dyDescent="0.3">
      <c r="A265" s="3">
        <v>44664</v>
      </c>
      <c r="B265" s="3">
        <v>44694</v>
      </c>
      <c r="C265" s="4">
        <f t="shared" si="8"/>
        <v>216</v>
      </c>
      <c r="D265" s="5" t="s">
        <v>309</v>
      </c>
      <c r="E265" s="5">
        <v>20479436470</v>
      </c>
      <c r="F265" s="5" t="s">
        <v>241</v>
      </c>
      <c r="G265" s="5" t="s">
        <v>58</v>
      </c>
      <c r="H265" s="5" t="s">
        <v>7</v>
      </c>
      <c r="I265" s="31">
        <v>2627.57</v>
      </c>
      <c r="J265" s="31">
        <v>0</v>
      </c>
      <c r="K265" s="6" t="str">
        <f t="shared" si="9"/>
        <v>180 &lt;= 360 DIAS</v>
      </c>
      <c r="L265" s="7" t="str">
        <f>_xlfn.CONCAT(TEXT(MONTH(DATA[[#This Row],[FECHA DE VENCIMIENTO]]),"00"),"-",TEXT(DATA[[#This Row],[FECHA DE VENCIMIENTO]],"MMM"))</f>
        <v>05-May</v>
      </c>
    </row>
    <row r="266" spans="1:12" hidden="1" x14ac:dyDescent="0.3">
      <c r="A266" s="3">
        <v>44664</v>
      </c>
      <c r="B266" s="3">
        <v>44694</v>
      </c>
      <c r="C266" s="4">
        <f t="shared" si="8"/>
        <v>216</v>
      </c>
      <c r="D266" s="5" t="s">
        <v>310</v>
      </c>
      <c r="E266" s="5">
        <v>20479436470</v>
      </c>
      <c r="F266" s="5" t="s">
        <v>241</v>
      </c>
      <c r="G266" s="5" t="s">
        <v>58</v>
      </c>
      <c r="H266" s="5" t="s">
        <v>29</v>
      </c>
      <c r="I266" s="31">
        <v>0</v>
      </c>
      <c r="J266" s="31">
        <v>211.29</v>
      </c>
      <c r="K266" s="6" t="str">
        <f t="shared" si="9"/>
        <v>180 &lt;= 360 DIAS</v>
      </c>
      <c r="L266" s="7" t="str">
        <f>_xlfn.CONCAT(TEXT(MONTH(DATA[[#This Row],[FECHA DE VENCIMIENTO]]),"00"),"-",TEXT(DATA[[#This Row],[FECHA DE VENCIMIENTO]],"MMM"))</f>
        <v>05-May</v>
      </c>
    </row>
    <row r="267" spans="1:12" hidden="1" x14ac:dyDescent="0.3">
      <c r="A267" s="3">
        <v>44657</v>
      </c>
      <c r="B267" s="3">
        <v>44702</v>
      </c>
      <c r="C267" s="4">
        <f t="shared" si="8"/>
        <v>208</v>
      </c>
      <c r="D267" s="5" t="s">
        <v>311</v>
      </c>
      <c r="E267" s="5">
        <v>20538241378</v>
      </c>
      <c r="F267" s="5" t="s">
        <v>236</v>
      </c>
      <c r="G267" s="5" t="s">
        <v>13</v>
      </c>
      <c r="H267" s="5" t="s">
        <v>29</v>
      </c>
      <c r="I267" s="31">
        <v>0</v>
      </c>
      <c r="J267" s="31">
        <v>3186</v>
      </c>
      <c r="K267" s="6" t="str">
        <f t="shared" si="9"/>
        <v>180 &lt;= 360 DIAS</v>
      </c>
      <c r="L267" s="7" t="str">
        <f>_xlfn.CONCAT(TEXT(MONTH(DATA[[#This Row],[FECHA DE VENCIMIENTO]]),"00"),"-",TEXT(DATA[[#This Row],[FECHA DE VENCIMIENTO]],"MMM"))</f>
        <v>05-May</v>
      </c>
    </row>
    <row r="268" spans="1:12" hidden="1" x14ac:dyDescent="0.3">
      <c r="A268" s="3">
        <v>44644</v>
      </c>
      <c r="B268" s="3">
        <v>44704</v>
      </c>
      <c r="C268" s="4">
        <f t="shared" si="8"/>
        <v>206</v>
      </c>
      <c r="D268" s="5" t="s">
        <v>312</v>
      </c>
      <c r="E268" s="5">
        <v>20538241378</v>
      </c>
      <c r="F268" s="5" t="s">
        <v>236</v>
      </c>
      <c r="G268" s="5" t="s">
        <v>13</v>
      </c>
      <c r="H268" s="5" t="s">
        <v>29</v>
      </c>
      <c r="I268" s="31">
        <v>0</v>
      </c>
      <c r="J268" s="31">
        <v>415.95</v>
      </c>
      <c r="K268" s="6" t="str">
        <f t="shared" si="9"/>
        <v>180 &lt;= 360 DIAS</v>
      </c>
      <c r="L268" s="7" t="str">
        <f>_xlfn.CONCAT(TEXT(MONTH(DATA[[#This Row],[FECHA DE VENCIMIENTO]]),"00"),"-",TEXT(DATA[[#This Row],[FECHA DE VENCIMIENTO]],"MMM"))</f>
        <v>05-May</v>
      </c>
    </row>
    <row r="269" spans="1:12" hidden="1" x14ac:dyDescent="0.3">
      <c r="A269" s="3">
        <v>44706</v>
      </c>
      <c r="B269" s="3">
        <v>44706</v>
      </c>
      <c r="C269" s="4">
        <f t="shared" si="8"/>
        <v>204</v>
      </c>
      <c r="D269" s="5" t="s">
        <v>313</v>
      </c>
      <c r="E269" s="5">
        <v>45463765</v>
      </c>
      <c r="F269" s="5" t="s">
        <v>314</v>
      </c>
      <c r="G269" s="5" t="s">
        <v>33</v>
      </c>
      <c r="H269" s="5" t="s">
        <v>29</v>
      </c>
      <c r="I269" s="31">
        <v>0</v>
      </c>
      <c r="J269" s="31">
        <v>209.45</v>
      </c>
      <c r="K269" s="6" t="str">
        <f t="shared" si="9"/>
        <v>180 &lt;= 360 DIAS</v>
      </c>
      <c r="L269" s="7" t="str">
        <f>_xlfn.CONCAT(TEXT(MONTH(DATA[[#This Row],[FECHA DE VENCIMIENTO]]),"00"),"-",TEXT(DATA[[#This Row],[FECHA DE VENCIMIENTO]],"MMM"))</f>
        <v>05-May</v>
      </c>
    </row>
    <row r="270" spans="1:12" hidden="1" x14ac:dyDescent="0.3">
      <c r="A270" s="3">
        <v>44662</v>
      </c>
      <c r="B270" s="3">
        <v>44707</v>
      </c>
      <c r="C270" s="4">
        <f t="shared" si="8"/>
        <v>203</v>
      </c>
      <c r="D270" s="5" t="s">
        <v>317</v>
      </c>
      <c r="E270" s="5">
        <v>20538241378</v>
      </c>
      <c r="F270" s="5" t="s">
        <v>236</v>
      </c>
      <c r="G270" s="5" t="s">
        <v>13</v>
      </c>
      <c r="H270" s="5" t="s">
        <v>7</v>
      </c>
      <c r="I270" s="31">
        <v>703.42</v>
      </c>
      <c r="J270" s="31">
        <v>0</v>
      </c>
      <c r="K270" s="6" t="str">
        <f t="shared" si="9"/>
        <v>180 &lt;= 360 DIAS</v>
      </c>
      <c r="L270" s="7" t="str">
        <f>_xlfn.CONCAT(TEXT(MONTH(DATA[[#This Row],[FECHA DE VENCIMIENTO]]),"00"),"-",TEXT(DATA[[#This Row],[FECHA DE VENCIMIENTO]],"MMM"))</f>
        <v>05-May</v>
      </c>
    </row>
    <row r="271" spans="1:12" hidden="1" x14ac:dyDescent="0.3">
      <c r="A271" s="3">
        <v>44662</v>
      </c>
      <c r="B271" s="3">
        <v>44707</v>
      </c>
      <c r="C271" s="4">
        <f t="shared" si="8"/>
        <v>203</v>
      </c>
      <c r="D271" s="5" t="s">
        <v>315</v>
      </c>
      <c r="E271" s="5">
        <v>20538241378</v>
      </c>
      <c r="F271" s="5" t="s">
        <v>236</v>
      </c>
      <c r="G271" s="5" t="s">
        <v>13</v>
      </c>
      <c r="H271" s="5" t="s">
        <v>7</v>
      </c>
      <c r="I271" s="31">
        <v>3093.15</v>
      </c>
      <c r="J271" s="31">
        <v>0</v>
      </c>
      <c r="K271" s="6" t="str">
        <f t="shared" si="9"/>
        <v>180 &lt;= 360 DIAS</v>
      </c>
      <c r="L271" s="7" t="str">
        <f>_xlfn.CONCAT(TEXT(MONTH(DATA[[#This Row],[FECHA DE VENCIMIENTO]]),"00"),"-",TEXT(DATA[[#This Row],[FECHA DE VENCIMIENTO]],"MMM"))</f>
        <v>05-May</v>
      </c>
    </row>
    <row r="272" spans="1:12" hidden="1" x14ac:dyDescent="0.3">
      <c r="A272" s="3">
        <v>44677</v>
      </c>
      <c r="B272" s="3">
        <v>44707</v>
      </c>
      <c r="C272" s="4">
        <f t="shared" si="8"/>
        <v>203</v>
      </c>
      <c r="D272" s="5" t="s">
        <v>316</v>
      </c>
      <c r="E272" s="5">
        <v>20608316788</v>
      </c>
      <c r="F272" s="5" t="s">
        <v>929</v>
      </c>
      <c r="G272" s="5" t="s">
        <v>33</v>
      </c>
      <c r="H272" s="5" t="s">
        <v>7</v>
      </c>
      <c r="I272" s="31">
        <v>3430.83</v>
      </c>
      <c r="J272" s="31">
        <v>0</v>
      </c>
      <c r="K272" s="6" t="str">
        <f t="shared" si="9"/>
        <v>180 &lt;= 360 DIAS</v>
      </c>
      <c r="L272" s="7" t="str">
        <f>_xlfn.CONCAT(TEXT(MONTH(DATA[[#This Row],[FECHA DE VENCIMIENTO]]),"00"),"-",TEXT(DATA[[#This Row],[FECHA DE VENCIMIENTO]],"MMM"))</f>
        <v>05-May</v>
      </c>
    </row>
    <row r="273" spans="1:12" hidden="1" x14ac:dyDescent="0.3">
      <c r="A273" s="3">
        <v>44663</v>
      </c>
      <c r="B273" s="3">
        <v>44708</v>
      </c>
      <c r="C273" s="4">
        <f t="shared" si="8"/>
        <v>202</v>
      </c>
      <c r="D273" s="5" t="s">
        <v>318</v>
      </c>
      <c r="E273" s="5">
        <v>20519902428</v>
      </c>
      <c r="F273" s="5" t="s">
        <v>225</v>
      </c>
      <c r="G273" s="5" t="s">
        <v>33</v>
      </c>
      <c r="H273" s="5" t="s">
        <v>29</v>
      </c>
      <c r="I273" s="31">
        <v>0</v>
      </c>
      <c r="J273" s="31">
        <v>1582.38</v>
      </c>
      <c r="K273" s="6" t="str">
        <f t="shared" si="9"/>
        <v>180 &lt;= 360 DIAS</v>
      </c>
      <c r="L273" s="7" t="str">
        <f>_xlfn.CONCAT(TEXT(MONTH(DATA[[#This Row],[FECHA DE VENCIMIENTO]]),"00"),"-",TEXT(DATA[[#This Row],[FECHA DE VENCIMIENTO]],"MMM"))</f>
        <v>05-May</v>
      </c>
    </row>
    <row r="274" spans="1:12" hidden="1" x14ac:dyDescent="0.3">
      <c r="A274" s="3">
        <v>44663</v>
      </c>
      <c r="B274" s="3">
        <v>44708</v>
      </c>
      <c r="C274" s="4">
        <f t="shared" si="8"/>
        <v>202</v>
      </c>
      <c r="D274" s="5" t="s">
        <v>319</v>
      </c>
      <c r="E274" s="5">
        <v>20519902428</v>
      </c>
      <c r="F274" s="5" t="s">
        <v>225</v>
      </c>
      <c r="G274" s="5" t="s">
        <v>33</v>
      </c>
      <c r="H274" s="5" t="s">
        <v>7</v>
      </c>
      <c r="I274" s="31">
        <v>3351.2</v>
      </c>
      <c r="J274" s="31">
        <v>0</v>
      </c>
      <c r="K274" s="6" t="str">
        <f t="shared" si="9"/>
        <v>180 &lt;= 360 DIAS</v>
      </c>
      <c r="L274" s="7" t="str">
        <f>_xlfn.CONCAT(TEXT(MONTH(DATA[[#This Row],[FECHA DE VENCIMIENTO]]),"00"),"-",TEXT(DATA[[#This Row],[FECHA DE VENCIMIENTO]],"MMM"))</f>
        <v>05-May</v>
      </c>
    </row>
    <row r="275" spans="1:12" hidden="1" x14ac:dyDescent="0.3">
      <c r="A275" s="3">
        <v>44664</v>
      </c>
      <c r="B275" s="3">
        <v>44709</v>
      </c>
      <c r="C275" s="4">
        <f t="shared" si="8"/>
        <v>201</v>
      </c>
      <c r="D275" s="5" t="s">
        <v>320</v>
      </c>
      <c r="E275" s="5">
        <v>20519902428</v>
      </c>
      <c r="F275" s="5" t="s">
        <v>225</v>
      </c>
      <c r="G275" s="5" t="s">
        <v>33</v>
      </c>
      <c r="H275" s="5" t="s">
        <v>29</v>
      </c>
      <c r="I275" s="31">
        <v>0</v>
      </c>
      <c r="J275" s="31">
        <v>672.6</v>
      </c>
      <c r="K275" s="6" t="str">
        <f t="shared" si="9"/>
        <v>180 &lt;= 360 DIAS</v>
      </c>
      <c r="L275" s="7" t="str">
        <f>_xlfn.CONCAT(TEXT(MONTH(DATA[[#This Row],[FECHA DE VENCIMIENTO]]),"00"),"-",TEXT(DATA[[#This Row],[FECHA DE VENCIMIENTO]],"MMM"))</f>
        <v>05-May</v>
      </c>
    </row>
    <row r="276" spans="1:12" hidden="1" x14ac:dyDescent="0.3">
      <c r="A276" s="3">
        <v>44672</v>
      </c>
      <c r="B276" s="3">
        <v>44717</v>
      </c>
      <c r="C276" s="4">
        <f t="shared" si="8"/>
        <v>193</v>
      </c>
      <c r="D276" s="5" t="s">
        <v>322</v>
      </c>
      <c r="E276" s="5">
        <v>20538241378</v>
      </c>
      <c r="F276" s="5" t="s">
        <v>236</v>
      </c>
      <c r="G276" s="5" t="s">
        <v>13</v>
      </c>
      <c r="H276" s="5" t="s">
        <v>29</v>
      </c>
      <c r="I276" s="31">
        <v>0</v>
      </c>
      <c r="J276" s="31">
        <v>424.8</v>
      </c>
      <c r="K276" s="6" t="str">
        <f t="shared" si="9"/>
        <v>180 &lt;= 360 DIAS</v>
      </c>
      <c r="L276" s="7" t="str">
        <f>_xlfn.CONCAT(TEXT(MONTH(DATA[[#This Row],[FECHA DE VENCIMIENTO]]),"00"),"-",TEXT(DATA[[#This Row],[FECHA DE VENCIMIENTO]],"MMM"))</f>
        <v>06-Jun</v>
      </c>
    </row>
    <row r="277" spans="1:12" hidden="1" x14ac:dyDescent="0.3">
      <c r="A277" s="3">
        <v>44673</v>
      </c>
      <c r="B277" s="3">
        <v>44718</v>
      </c>
      <c r="C277" s="4">
        <f t="shared" si="8"/>
        <v>192</v>
      </c>
      <c r="D277" s="5" t="s">
        <v>325</v>
      </c>
      <c r="E277" s="5">
        <v>20538241378</v>
      </c>
      <c r="F277" s="5" t="s">
        <v>236</v>
      </c>
      <c r="G277" s="5" t="s">
        <v>13</v>
      </c>
      <c r="H277" s="5" t="s">
        <v>7</v>
      </c>
      <c r="I277" s="31">
        <v>708</v>
      </c>
      <c r="J277" s="31">
        <v>0</v>
      </c>
      <c r="K277" s="6" t="str">
        <f t="shared" si="9"/>
        <v>180 &lt;= 360 DIAS</v>
      </c>
      <c r="L277" s="7" t="str">
        <f>_xlfn.CONCAT(TEXT(MONTH(DATA[[#This Row],[FECHA DE VENCIMIENTO]]),"00"),"-",TEXT(DATA[[#This Row],[FECHA DE VENCIMIENTO]],"MMM"))</f>
        <v>06-Jun</v>
      </c>
    </row>
    <row r="278" spans="1:12" hidden="1" x14ac:dyDescent="0.3">
      <c r="A278" s="3">
        <v>44673</v>
      </c>
      <c r="B278" s="3">
        <v>44718</v>
      </c>
      <c r="C278" s="4">
        <f t="shared" si="8"/>
        <v>192</v>
      </c>
      <c r="D278" s="5" t="s">
        <v>324</v>
      </c>
      <c r="E278" s="5">
        <v>20538241378</v>
      </c>
      <c r="F278" s="5" t="s">
        <v>236</v>
      </c>
      <c r="G278" s="5" t="s">
        <v>13</v>
      </c>
      <c r="H278" s="5" t="s">
        <v>7</v>
      </c>
      <c r="I278" s="31">
        <v>6525.57</v>
      </c>
      <c r="J278" s="31">
        <v>0</v>
      </c>
      <c r="K278" s="6" t="str">
        <f t="shared" si="9"/>
        <v>180 &lt;= 360 DIAS</v>
      </c>
      <c r="L278" s="7" t="str">
        <f>_xlfn.CONCAT(TEXT(MONTH(DATA[[#This Row],[FECHA DE VENCIMIENTO]]),"00"),"-",TEXT(DATA[[#This Row],[FECHA DE VENCIMIENTO]],"MMM"))</f>
        <v>06-Jun</v>
      </c>
    </row>
    <row r="279" spans="1:12" hidden="1" x14ac:dyDescent="0.3">
      <c r="A279" s="3">
        <v>44673</v>
      </c>
      <c r="B279" s="3">
        <v>44718</v>
      </c>
      <c r="C279" s="4">
        <f t="shared" si="8"/>
        <v>192</v>
      </c>
      <c r="D279" s="5" t="s">
        <v>323</v>
      </c>
      <c r="E279" s="5">
        <v>20538241378</v>
      </c>
      <c r="F279" s="5" t="s">
        <v>236</v>
      </c>
      <c r="G279" s="5" t="s">
        <v>13</v>
      </c>
      <c r="H279" s="5" t="s">
        <v>29</v>
      </c>
      <c r="I279" s="31">
        <v>0</v>
      </c>
      <c r="J279" s="31">
        <v>2796.6</v>
      </c>
      <c r="K279" s="6" t="str">
        <f t="shared" si="9"/>
        <v>180 &lt;= 360 DIAS</v>
      </c>
      <c r="L279" s="7" t="str">
        <f>_xlfn.CONCAT(TEXT(MONTH(DATA[[#This Row],[FECHA DE VENCIMIENTO]]),"00"),"-",TEXT(DATA[[#This Row],[FECHA DE VENCIMIENTO]],"MMM"))</f>
        <v>06-Jun</v>
      </c>
    </row>
    <row r="280" spans="1:12" hidden="1" x14ac:dyDescent="0.3">
      <c r="A280" s="3">
        <v>44638</v>
      </c>
      <c r="B280" s="3">
        <v>44728</v>
      </c>
      <c r="C280" s="4">
        <f t="shared" si="8"/>
        <v>182</v>
      </c>
      <c r="D280" s="5" t="s">
        <v>328</v>
      </c>
      <c r="E280" s="5">
        <v>20608918818</v>
      </c>
      <c r="F280" s="5" t="s">
        <v>273</v>
      </c>
      <c r="G280" s="5" t="s">
        <v>33</v>
      </c>
      <c r="H280" s="5" t="s">
        <v>7</v>
      </c>
      <c r="I280" s="31">
        <v>2596</v>
      </c>
      <c r="J280" s="31">
        <v>0</v>
      </c>
      <c r="K280" s="6" t="str">
        <f t="shared" si="9"/>
        <v>180 &lt;= 360 DIAS</v>
      </c>
      <c r="L280" s="7" t="str">
        <f>_xlfn.CONCAT(TEXT(MONTH(DATA[[#This Row],[FECHA DE VENCIMIENTO]]),"00"),"-",TEXT(DATA[[#This Row],[FECHA DE VENCIMIENTO]],"MMM"))</f>
        <v>06-Jun</v>
      </c>
    </row>
    <row r="281" spans="1:12" hidden="1" x14ac:dyDescent="0.3">
      <c r="A281" s="3">
        <v>44683</v>
      </c>
      <c r="B281" s="3">
        <v>44728</v>
      </c>
      <c r="C281" s="4">
        <f t="shared" si="8"/>
        <v>182</v>
      </c>
      <c r="D281" s="5" t="s">
        <v>329</v>
      </c>
      <c r="E281" s="5">
        <v>20538241378</v>
      </c>
      <c r="F281" s="5" t="s">
        <v>236</v>
      </c>
      <c r="G281" s="5" t="s">
        <v>13</v>
      </c>
      <c r="H281" s="5" t="s">
        <v>7</v>
      </c>
      <c r="I281" s="31">
        <v>932.22</v>
      </c>
      <c r="J281" s="31">
        <v>0</v>
      </c>
      <c r="K281" s="6" t="str">
        <f t="shared" si="9"/>
        <v>180 &lt;= 360 DIAS</v>
      </c>
      <c r="L281" s="7" t="str">
        <f>_xlfn.CONCAT(TEXT(MONTH(DATA[[#This Row],[FECHA DE VENCIMIENTO]]),"00"),"-",TEXT(DATA[[#This Row],[FECHA DE VENCIMIENTO]],"MMM"))</f>
        <v>06-Jun</v>
      </c>
    </row>
    <row r="282" spans="1:12" hidden="1" x14ac:dyDescent="0.3">
      <c r="A282" s="3">
        <v>44683</v>
      </c>
      <c r="B282" s="3">
        <v>44728</v>
      </c>
      <c r="C282" s="4">
        <f t="shared" si="8"/>
        <v>182</v>
      </c>
      <c r="D282" s="5" t="s">
        <v>327</v>
      </c>
      <c r="E282" s="5">
        <v>20538241378</v>
      </c>
      <c r="F282" s="5" t="s">
        <v>236</v>
      </c>
      <c r="G282" s="5" t="s">
        <v>13</v>
      </c>
      <c r="H282" s="5" t="s">
        <v>7</v>
      </c>
      <c r="I282" s="31">
        <v>1345.2</v>
      </c>
      <c r="J282" s="31">
        <v>0</v>
      </c>
      <c r="K282" s="6" t="str">
        <f t="shared" si="9"/>
        <v>180 &lt;= 360 DIAS</v>
      </c>
      <c r="L282" s="7" t="str">
        <f>_xlfn.CONCAT(TEXT(MONTH(DATA[[#This Row],[FECHA DE VENCIMIENTO]]),"00"),"-",TEXT(DATA[[#This Row],[FECHA DE VENCIMIENTO]],"MMM"))</f>
        <v>06-Jun</v>
      </c>
    </row>
    <row r="283" spans="1:12" hidden="1" x14ac:dyDescent="0.3">
      <c r="A283" s="3">
        <v>44683</v>
      </c>
      <c r="B283" s="3">
        <v>44728</v>
      </c>
      <c r="C283" s="4">
        <f t="shared" si="8"/>
        <v>182</v>
      </c>
      <c r="D283" s="5" t="s">
        <v>330</v>
      </c>
      <c r="E283" s="5">
        <v>20538241378</v>
      </c>
      <c r="F283" s="5" t="s">
        <v>236</v>
      </c>
      <c r="G283" s="5" t="s">
        <v>13</v>
      </c>
      <c r="H283" s="5" t="s">
        <v>7</v>
      </c>
      <c r="I283" s="31">
        <v>2796.6</v>
      </c>
      <c r="J283" s="31">
        <v>0</v>
      </c>
      <c r="K283" s="6" t="str">
        <f t="shared" si="9"/>
        <v>180 &lt;= 360 DIAS</v>
      </c>
      <c r="L283" s="7" t="str">
        <f>_xlfn.CONCAT(TEXT(MONTH(DATA[[#This Row],[FECHA DE VENCIMIENTO]]),"00"),"-",TEXT(DATA[[#This Row],[FECHA DE VENCIMIENTO]],"MMM"))</f>
        <v>06-Jun</v>
      </c>
    </row>
    <row r="284" spans="1:12" hidden="1" x14ac:dyDescent="0.3">
      <c r="A284" s="3">
        <v>44698</v>
      </c>
      <c r="B284" s="3">
        <v>44728</v>
      </c>
      <c r="C284" s="4">
        <f t="shared" si="8"/>
        <v>182</v>
      </c>
      <c r="D284" s="5" t="s">
        <v>326</v>
      </c>
      <c r="E284" s="5">
        <v>20527979936</v>
      </c>
      <c r="F284" s="5" t="s">
        <v>306</v>
      </c>
      <c r="G284" s="5" t="s">
        <v>33</v>
      </c>
      <c r="H284" s="5" t="s">
        <v>7</v>
      </c>
      <c r="I284" s="31">
        <v>2688.93</v>
      </c>
      <c r="J284" s="31">
        <v>0</v>
      </c>
      <c r="K284" s="6" t="str">
        <f t="shared" si="9"/>
        <v>180 &lt;= 360 DIAS</v>
      </c>
      <c r="L284" s="7" t="str">
        <f>_xlfn.CONCAT(TEXT(MONTH(DATA[[#This Row],[FECHA DE VENCIMIENTO]]),"00"),"-",TEXT(DATA[[#This Row],[FECHA DE VENCIMIENTO]],"MMM"))</f>
        <v>06-Jun</v>
      </c>
    </row>
    <row r="285" spans="1:12" hidden="1" x14ac:dyDescent="0.3">
      <c r="A285" s="3">
        <v>44734</v>
      </c>
      <c r="B285" s="3">
        <v>44734</v>
      </c>
      <c r="C285" s="4">
        <f t="shared" si="8"/>
        <v>176</v>
      </c>
      <c r="D285" s="5" t="s">
        <v>332</v>
      </c>
      <c r="E285" s="5">
        <v>41724031</v>
      </c>
      <c r="F285" s="5" t="s">
        <v>333</v>
      </c>
      <c r="G285" s="5" t="s">
        <v>33</v>
      </c>
      <c r="H285" s="5" t="s">
        <v>29</v>
      </c>
      <c r="I285" s="31">
        <v>0</v>
      </c>
      <c r="J285" s="31">
        <v>54.74</v>
      </c>
      <c r="K285" s="6" t="str">
        <f t="shared" si="9"/>
        <v>90 &lt;= 180 DIAS</v>
      </c>
      <c r="L285" s="7" t="str">
        <f>_xlfn.CONCAT(TEXT(MONTH(DATA[[#This Row],[FECHA DE VENCIMIENTO]]),"00"),"-",TEXT(DATA[[#This Row],[FECHA DE VENCIMIENTO]],"MMM"))</f>
        <v>06-Jun</v>
      </c>
    </row>
    <row r="286" spans="1:12" ht="31.2" hidden="1" x14ac:dyDescent="0.3">
      <c r="A286" s="3">
        <v>44708</v>
      </c>
      <c r="B286" s="3">
        <v>44738</v>
      </c>
      <c r="C286" s="4">
        <f t="shared" si="8"/>
        <v>172</v>
      </c>
      <c r="D286" s="5" t="s">
        <v>334</v>
      </c>
      <c r="E286" s="5">
        <v>20393226332</v>
      </c>
      <c r="F286" s="5" t="s">
        <v>246</v>
      </c>
      <c r="G286" s="5" t="s">
        <v>46</v>
      </c>
      <c r="H286" s="5" t="s">
        <v>7</v>
      </c>
      <c r="I286" s="31">
        <v>4209.46</v>
      </c>
      <c r="J286" s="31">
        <v>0</v>
      </c>
      <c r="K286" s="6" t="str">
        <f t="shared" si="9"/>
        <v>90 &lt;= 180 DIAS</v>
      </c>
      <c r="L286" s="7" t="str">
        <f>_xlfn.CONCAT(TEXT(MONTH(DATA[[#This Row],[FECHA DE VENCIMIENTO]]),"00"),"-",TEXT(DATA[[#This Row],[FECHA DE VENCIMIENTO]],"MMM"))</f>
        <v>06-Jun</v>
      </c>
    </row>
    <row r="287" spans="1:12" hidden="1" x14ac:dyDescent="0.3">
      <c r="A287" s="3">
        <v>44693</v>
      </c>
      <c r="B287" s="3">
        <v>44738</v>
      </c>
      <c r="C287" s="4">
        <f t="shared" si="8"/>
        <v>172</v>
      </c>
      <c r="D287" s="5" t="s">
        <v>335</v>
      </c>
      <c r="E287" s="5">
        <v>20538241378</v>
      </c>
      <c r="F287" s="5" t="s">
        <v>236</v>
      </c>
      <c r="G287" s="5" t="s">
        <v>13</v>
      </c>
      <c r="H287" s="5" t="s">
        <v>29</v>
      </c>
      <c r="I287" s="31">
        <v>0</v>
      </c>
      <c r="J287" s="31">
        <v>2706.33</v>
      </c>
      <c r="K287" s="6" t="str">
        <f t="shared" si="9"/>
        <v>90 &lt;= 180 DIAS</v>
      </c>
      <c r="L287" s="7" t="str">
        <f>_xlfn.CONCAT(TEXT(MONTH(DATA[[#This Row],[FECHA DE VENCIMIENTO]]),"00"),"-",TEXT(DATA[[#This Row],[FECHA DE VENCIMIENTO]],"MMM"))</f>
        <v>06-Jun</v>
      </c>
    </row>
    <row r="288" spans="1:12" hidden="1" x14ac:dyDescent="0.3">
      <c r="A288" s="3">
        <v>44693</v>
      </c>
      <c r="B288" s="3">
        <v>44738</v>
      </c>
      <c r="C288" s="4">
        <f t="shared" si="8"/>
        <v>172</v>
      </c>
      <c r="D288" s="5" t="s">
        <v>336</v>
      </c>
      <c r="E288" s="5">
        <v>20538241378</v>
      </c>
      <c r="F288" s="5" t="s">
        <v>236</v>
      </c>
      <c r="G288" s="5" t="s">
        <v>13</v>
      </c>
      <c r="H288" s="5" t="s">
        <v>29</v>
      </c>
      <c r="I288" s="31">
        <v>0</v>
      </c>
      <c r="J288" s="31">
        <v>395.3</v>
      </c>
      <c r="K288" s="6" t="str">
        <f t="shared" si="9"/>
        <v>90 &lt;= 180 DIAS</v>
      </c>
      <c r="L288" s="7" t="str">
        <f>_xlfn.CONCAT(TEXT(MONTH(DATA[[#This Row],[FECHA DE VENCIMIENTO]]),"00"),"-",TEXT(DATA[[#This Row],[FECHA DE VENCIMIENTO]],"MMM"))</f>
        <v>06-Jun</v>
      </c>
    </row>
    <row r="289" spans="1:12" hidden="1" x14ac:dyDescent="0.3">
      <c r="A289" s="3">
        <v>44704</v>
      </c>
      <c r="B289" s="3">
        <v>44749</v>
      </c>
      <c r="C289" s="4">
        <f t="shared" si="8"/>
        <v>161</v>
      </c>
      <c r="D289" s="5" t="s">
        <v>339</v>
      </c>
      <c r="E289" s="5">
        <v>20538241378</v>
      </c>
      <c r="F289" s="5" t="s">
        <v>236</v>
      </c>
      <c r="G289" s="5" t="s">
        <v>13</v>
      </c>
      <c r="H289" s="5" t="s">
        <v>7</v>
      </c>
      <c r="I289" s="31">
        <v>4661</v>
      </c>
      <c r="J289" s="31">
        <v>0</v>
      </c>
      <c r="K289" s="6" t="str">
        <f t="shared" si="9"/>
        <v>90 &lt;= 180 DIAS</v>
      </c>
      <c r="L289" s="7" t="str">
        <f>_xlfn.CONCAT(TEXT(MONTH(DATA[[#This Row],[FECHA DE VENCIMIENTO]]),"00"),"-",TEXT(DATA[[#This Row],[FECHA DE VENCIMIENTO]],"MMM"))</f>
        <v>07-Jul</v>
      </c>
    </row>
    <row r="290" spans="1:12" hidden="1" x14ac:dyDescent="0.3">
      <c r="A290" s="3">
        <v>44704</v>
      </c>
      <c r="B290" s="3">
        <v>44749</v>
      </c>
      <c r="C290" s="4">
        <f t="shared" si="8"/>
        <v>161</v>
      </c>
      <c r="D290" s="5" t="s">
        <v>338</v>
      </c>
      <c r="E290" s="5">
        <v>20538241378</v>
      </c>
      <c r="F290" s="5" t="s">
        <v>236</v>
      </c>
      <c r="G290" s="5" t="s">
        <v>13</v>
      </c>
      <c r="H290" s="5" t="s">
        <v>29</v>
      </c>
      <c r="I290" s="31">
        <v>0</v>
      </c>
      <c r="J290" s="31">
        <v>424.8</v>
      </c>
      <c r="K290" s="6" t="str">
        <f t="shared" si="9"/>
        <v>90 &lt;= 180 DIAS</v>
      </c>
      <c r="L290" s="7" t="str">
        <f>_xlfn.CONCAT(TEXT(MONTH(DATA[[#This Row],[FECHA DE VENCIMIENTO]]),"00"),"-",TEXT(DATA[[#This Row],[FECHA DE VENCIMIENTO]],"MMM"))</f>
        <v>07-Jul</v>
      </c>
    </row>
    <row r="291" spans="1:12" hidden="1" x14ac:dyDescent="0.3">
      <c r="A291" s="3">
        <v>44707</v>
      </c>
      <c r="B291" s="3">
        <v>44752</v>
      </c>
      <c r="C291" s="4">
        <f t="shared" si="8"/>
        <v>158</v>
      </c>
      <c r="D291" s="5" t="s">
        <v>340</v>
      </c>
      <c r="E291" s="5">
        <v>20538241378</v>
      </c>
      <c r="F291" s="5" t="s">
        <v>236</v>
      </c>
      <c r="G291" s="5" t="s">
        <v>13</v>
      </c>
      <c r="H291" s="5" t="s">
        <v>7</v>
      </c>
      <c r="I291" s="31">
        <v>11460.09</v>
      </c>
      <c r="J291" s="31">
        <v>0</v>
      </c>
      <c r="K291" s="6" t="str">
        <f t="shared" si="9"/>
        <v>90 &lt;= 180 DIAS</v>
      </c>
      <c r="L291" s="7" t="str">
        <f>_xlfn.CONCAT(TEXT(MONTH(DATA[[#This Row],[FECHA DE VENCIMIENTO]]),"00"),"-",TEXT(DATA[[#This Row],[FECHA DE VENCIMIENTO]],"MMM"))</f>
        <v>07-Jul</v>
      </c>
    </row>
    <row r="292" spans="1:12" hidden="1" x14ac:dyDescent="0.3">
      <c r="A292" s="3">
        <v>44754</v>
      </c>
      <c r="B292" s="3">
        <v>44754</v>
      </c>
      <c r="C292" s="4">
        <f t="shared" si="8"/>
        <v>156</v>
      </c>
      <c r="D292" s="5" t="s">
        <v>342</v>
      </c>
      <c r="E292" s="5">
        <v>29345955</v>
      </c>
      <c r="F292" s="5" t="s">
        <v>343</v>
      </c>
      <c r="G292" s="5" t="s">
        <v>33</v>
      </c>
      <c r="H292" s="5" t="s">
        <v>7</v>
      </c>
      <c r="I292" s="31">
        <v>1170.3699999999999</v>
      </c>
      <c r="J292" s="31">
        <v>0</v>
      </c>
      <c r="K292" s="6" t="str">
        <f t="shared" si="9"/>
        <v>90 &lt;= 180 DIAS</v>
      </c>
      <c r="L292" s="7" t="str">
        <f>_xlfn.CONCAT(TEXT(MONTH(DATA[[#This Row],[FECHA DE VENCIMIENTO]]),"00"),"-",TEXT(DATA[[#This Row],[FECHA DE VENCIMIENTO]],"MMM"))</f>
        <v>07-Jul</v>
      </c>
    </row>
    <row r="293" spans="1:12" hidden="1" x14ac:dyDescent="0.3">
      <c r="A293" s="3">
        <v>44755</v>
      </c>
      <c r="B293" s="3">
        <v>44755</v>
      </c>
      <c r="C293" s="4">
        <f t="shared" si="8"/>
        <v>155</v>
      </c>
      <c r="D293" s="5" t="s">
        <v>344</v>
      </c>
      <c r="E293" s="5">
        <v>20608316788</v>
      </c>
      <c r="F293" s="5" t="s">
        <v>929</v>
      </c>
      <c r="G293" s="5" t="s">
        <v>33</v>
      </c>
      <c r="H293" s="5" t="s">
        <v>7</v>
      </c>
      <c r="I293" s="31">
        <v>2666.32</v>
      </c>
      <c r="J293" s="31">
        <v>0</v>
      </c>
      <c r="K293" s="6" t="str">
        <f t="shared" si="9"/>
        <v>90 &lt;= 180 DIAS</v>
      </c>
      <c r="L293" s="7" t="str">
        <f>_xlfn.CONCAT(TEXT(MONTH(DATA[[#This Row],[FECHA DE VENCIMIENTO]]),"00"),"-",TEXT(DATA[[#This Row],[FECHA DE VENCIMIENTO]],"MMM"))</f>
        <v>07-Jul</v>
      </c>
    </row>
    <row r="294" spans="1:12" hidden="1" x14ac:dyDescent="0.3">
      <c r="A294" s="3">
        <v>44755</v>
      </c>
      <c r="B294" s="3">
        <v>44755</v>
      </c>
      <c r="C294" s="4">
        <f t="shared" si="8"/>
        <v>155</v>
      </c>
      <c r="D294" s="5" t="s">
        <v>345</v>
      </c>
      <c r="E294" s="5">
        <v>20604105324</v>
      </c>
      <c r="F294" s="5" t="s">
        <v>346</v>
      </c>
      <c r="G294" s="5" t="s">
        <v>33</v>
      </c>
      <c r="H294" s="5" t="s">
        <v>7</v>
      </c>
      <c r="I294" s="31">
        <v>5764.3</v>
      </c>
      <c r="J294" s="31">
        <v>0</v>
      </c>
      <c r="K294" s="6" t="str">
        <f t="shared" si="9"/>
        <v>90 &lt;= 180 DIAS</v>
      </c>
      <c r="L294" s="7" t="str">
        <f>_xlfn.CONCAT(TEXT(MONTH(DATA[[#This Row],[FECHA DE VENCIMIENTO]]),"00"),"-",TEXT(DATA[[#This Row],[FECHA DE VENCIMIENTO]],"MMM"))</f>
        <v>07-Jul</v>
      </c>
    </row>
    <row r="295" spans="1:12" hidden="1" x14ac:dyDescent="0.3">
      <c r="A295" s="3">
        <v>44711</v>
      </c>
      <c r="B295" s="3">
        <v>44756</v>
      </c>
      <c r="C295" s="4">
        <f t="shared" si="8"/>
        <v>154</v>
      </c>
      <c r="D295" s="5" t="s">
        <v>347</v>
      </c>
      <c r="E295" s="5">
        <v>20604105324</v>
      </c>
      <c r="F295" s="5" t="s">
        <v>346</v>
      </c>
      <c r="G295" s="5" t="s">
        <v>33</v>
      </c>
      <c r="H295" s="5" t="s">
        <v>29</v>
      </c>
      <c r="I295" s="31">
        <v>0</v>
      </c>
      <c r="J295" s="31">
        <v>212.4</v>
      </c>
      <c r="K295" s="6" t="str">
        <f t="shared" si="9"/>
        <v>90 &lt;= 180 DIAS</v>
      </c>
      <c r="L295" s="7" t="str">
        <f>_xlfn.CONCAT(TEXT(MONTH(DATA[[#This Row],[FECHA DE VENCIMIENTO]]),"00"),"-",TEXT(DATA[[#This Row],[FECHA DE VENCIMIENTO]],"MMM"))</f>
        <v>07-Jul</v>
      </c>
    </row>
    <row r="296" spans="1:12" hidden="1" x14ac:dyDescent="0.3">
      <c r="A296" s="3">
        <v>44732</v>
      </c>
      <c r="B296" s="3">
        <v>44762</v>
      </c>
      <c r="C296" s="4">
        <f t="shared" si="8"/>
        <v>148</v>
      </c>
      <c r="D296" s="5" t="s">
        <v>348</v>
      </c>
      <c r="E296" s="5">
        <v>20608316788</v>
      </c>
      <c r="F296" s="5" t="s">
        <v>929</v>
      </c>
      <c r="G296" s="5" t="s">
        <v>33</v>
      </c>
      <c r="H296" s="5" t="s">
        <v>7</v>
      </c>
      <c r="I296" s="31">
        <v>3463.26</v>
      </c>
      <c r="J296" s="31">
        <v>0</v>
      </c>
      <c r="K296" s="6" t="str">
        <f t="shared" si="9"/>
        <v>90 &lt;= 180 DIAS</v>
      </c>
      <c r="L296" s="7" t="str">
        <f>_xlfn.CONCAT(TEXT(MONTH(DATA[[#This Row],[FECHA DE VENCIMIENTO]]),"00"),"-",TEXT(DATA[[#This Row],[FECHA DE VENCIMIENTO]],"MMM"))</f>
        <v>07-Jul</v>
      </c>
    </row>
    <row r="297" spans="1:12" hidden="1" x14ac:dyDescent="0.3">
      <c r="A297" s="3">
        <v>44721</v>
      </c>
      <c r="B297" s="3">
        <v>44766</v>
      </c>
      <c r="C297" s="4">
        <f t="shared" si="8"/>
        <v>144</v>
      </c>
      <c r="D297" s="5" t="s">
        <v>349</v>
      </c>
      <c r="E297" s="5">
        <v>20538241378</v>
      </c>
      <c r="F297" s="5" t="s">
        <v>236</v>
      </c>
      <c r="G297" s="5" t="s">
        <v>13</v>
      </c>
      <c r="H297" s="5" t="s">
        <v>7</v>
      </c>
      <c r="I297" s="31">
        <v>1581.2</v>
      </c>
      <c r="J297" s="31">
        <v>0</v>
      </c>
      <c r="K297" s="6" t="str">
        <f t="shared" si="9"/>
        <v>90 &lt;= 180 DIAS</v>
      </c>
      <c r="L297" s="7" t="str">
        <f>_xlfn.CONCAT(TEXT(MONTH(DATA[[#This Row],[FECHA DE VENCIMIENTO]]),"00"),"-",TEXT(DATA[[#This Row],[FECHA DE VENCIMIENTO]],"MMM"))</f>
        <v>07-Jul</v>
      </c>
    </row>
    <row r="298" spans="1:12" hidden="1" x14ac:dyDescent="0.3">
      <c r="A298" s="3">
        <v>44767</v>
      </c>
      <c r="B298" s="3">
        <v>44767</v>
      </c>
      <c r="C298" s="4">
        <f t="shared" si="8"/>
        <v>143</v>
      </c>
      <c r="D298" s="5" t="s">
        <v>350</v>
      </c>
      <c r="E298" s="5">
        <v>20527979936</v>
      </c>
      <c r="F298" s="5" t="s">
        <v>306</v>
      </c>
      <c r="G298" s="5" t="s">
        <v>33</v>
      </c>
      <c r="H298" s="5" t="s">
        <v>7</v>
      </c>
      <c r="I298" s="31">
        <v>5428.89</v>
      </c>
      <c r="J298" s="31">
        <v>0</v>
      </c>
      <c r="K298" s="6" t="str">
        <f t="shared" si="9"/>
        <v>90 &lt;= 180 DIAS</v>
      </c>
      <c r="L298" s="7" t="str">
        <f>_xlfn.CONCAT(TEXT(MONTH(DATA[[#This Row],[FECHA DE VENCIMIENTO]]),"00"),"-",TEXT(DATA[[#This Row],[FECHA DE VENCIMIENTO]],"MMM"))</f>
        <v>07-Jul</v>
      </c>
    </row>
    <row r="299" spans="1:12" hidden="1" x14ac:dyDescent="0.3">
      <c r="A299" s="3">
        <v>44764</v>
      </c>
      <c r="B299" s="3">
        <v>44771</v>
      </c>
      <c r="C299" s="4">
        <f t="shared" si="8"/>
        <v>139</v>
      </c>
      <c r="D299" s="5" t="s">
        <v>352</v>
      </c>
      <c r="E299" s="5">
        <v>20440309853</v>
      </c>
      <c r="F299" s="5" t="s">
        <v>353</v>
      </c>
      <c r="G299" s="5" t="s">
        <v>26</v>
      </c>
      <c r="H299" s="5" t="s">
        <v>7</v>
      </c>
      <c r="I299" s="31">
        <v>1060.9100000000001</v>
      </c>
      <c r="J299" s="31">
        <v>0</v>
      </c>
      <c r="K299" s="6" t="str">
        <f t="shared" si="9"/>
        <v>90 &lt;= 180 DIAS</v>
      </c>
      <c r="L299" s="7" t="str">
        <f>_xlfn.CONCAT(TEXT(MONTH(DATA[[#This Row],[FECHA DE VENCIMIENTO]]),"00"),"-",TEXT(DATA[[#This Row],[FECHA DE VENCIMIENTO]],"MMM"))</f>
        <v>07-Jul</v>
      </c>
    </row>
    <row r="300" spans="1:12" ht="31.2" hidden="1" x14ac:dyDescent="0.3">
      <c r="A300" s="3">
        <v>44747</v>
      </c>
      <c r="B300" s="3">
        <v>44777</v>
      </c>
      <c r="C300" s="4">
        <f t="shared" si="8"/>
        <v>133</v>
      </c>
      <c r="D300" s="5" t="s">
        <v>356</v>
      </c>
      <c r="E300" s="5">
        <v>20548669767</v>
      </c>
      <c r="F300" s="5" t="s">
        <v>357</v>
      </c>
      <c r="G300" s="5" t="s">
        <v>46</v>
      </c>
      <c r="H300" s="5" t="s">
        <v>29</v>
      </c>
      <c r="I300" s="31">
        <v>0</v>
      </c>
      <c r="J300" s="31">
        <v>231.28</v>
      </c>
      <c r="K300" s="6" t="str">
        <f t="shared" si="9"/>
        <v>90 &lt;= 180 DIAS</v>
      </c>
      <c r="L300" s="7" t="str">
        <f>_xlfn.CONCAT(TEXT(MONTH(DATA[[#This Row],[FECHA DE VENCIMIENTO]]),"00"),"-",TEXT(DATA[[#This Row],[FECHA DE VENCIMIENTO]],"MMM"))</f>
        <v>08-Ago</v>
      </c>
    </row>
    <row r="301" spans="1:12" hidden="1" x14ac:dyDescent="0.3">
      <c r="A301" s="3">
        <v>44781</v>
      </c>
      <c r="B301" s="3">
        <v>44781</v>
      </c>
      <c r="C301" s="4">
        <f t="shared" si="8"/>
        <v>129</v>
      </c>
      <c r="D301" s="5" t="s">
        <v>361</v>
      </c>
      <c r="E301" s="5">
        <v>1</v>
      </c>
      <c r="F301" s="5" t="s">
        <v>362</v>
      </c>
      <c r="G301" s="5" t="s">
        <v>26</v>
      </c>
      <c r="H301" s="5" t="s">
        <v>29</v>
      </c>
      <c r="I301" s="31">
        <v>0</v>
      </c>
      <c r="J301" s="31">
        <v>3223.45</v>
      </c>
      <c r="K301" s="6" t="str">
        <f t="shared" si="9"/>
        <v>90 &lt;= 180 DIAS</v>
      </c>
      <c r="L301" s="7" t="str">
        <f>_xlfn.CONCAT(TEXT(MONTH(DATA[[#This Row],[FECHA DE VENCIMIENTO]]),"00"),"-",TEXT(DATA[[#This Row],[FECHA DE VENCIMIENTO]],"MMM"))</f>
        <v>08-Ago</v>
      </c>
    </row>
    <row r="302" spans="1:12" hidden="1" x14ac:dyDescent="0.3">
      <c r="A302" s="3">
        <v>44725</v>
      </c>
      <c r="B302" s="3">
        <v>44785</v>
      </c>
      <c r="C302" s="4">
        <f t="shared" si="8"/>
        <v>125</v>
      </c>
      <c r="D302" s="5" t="s">
        <v>364</v>
      </c>
      <c r="E302" s="5">
        <v>20601830818</v>
      </c>
      <c r="F302" s="5" t="s">
        <v>301</v>
      </c>
      <c r="G302" s="5" t="s">
        <v>13</v>
      </c>
      <c r="H302" s="5" t="s">
        <v>7</v>
      </c>
      <c r="I302" s="31">
        <v>1416</v>
      </c>
      <c r="J302" s="31">
        <v>0</v>
      </c>
      <c r="K302" s="6" t="str">
        <f t="shared" si="9"/>
        <v>90 &lt;= 180 DIAS</v>
      </c>
      <c r="L302" s="7" t="str">
        <f>_xlfn.CONCAT(TEXT(MONTH(DATA[[#This Row],[FECHA DE VENCIMIENTO]]),"00"),"-",TEXT(DATA[[#This Row],[FECHA DE VENCIMIENTO]],"MMM"))</f>
        <v>08-Ago</v>
      </c>
    </row>
    <row r="303" spans="1:12" hidden="1" x14ac:dyDescent="0.3">
      <c r="A303" s="3">
        <v>44725</v>
      </c>
      <c r="B303" s="3">
        <v>44785</v>
      </c>
      <c r="C303" s="4">
        <f t="shared" si="8"/>
        <v>125</v>
      </c>
      <c r="D303" s="5" t="s">
        <v>363</v>
      </c>
      <c r="E303" s="5">
        <v>20601830818</v>
      </c>
      <c r="F303" s="5" t="s">
        <v>301</v>
      </c>
      <c r="G303" s="5" t="s">
        <v>13</v>
      </c>
      <c r="H303" s="5" t="s">
        <v>29</v>
      </c>
      <c r="I303" s="31">
        <v>0</v>
      </c>
      <c r="J303" s="31">
        <v>236</v>
      </c>
      <c r="K303" s="6" t="str">
        <f t="shared" si="9"/>
        <v>90 &lt;= 180 DIAS</v>
      </c>
      <c r="L303" s="7" t="str">
        <f>_xlfn.CONCAT(TEXT(MONTH(DATA[[#This Row],[FECHA DE VENCIMIENTO]]),"00"),"-",TEXT(DATA[[#This Row],[FECHA DE VENCIMIENTO]],"MMM"))</f>
        <v>08-Ago</v>
      </c>
    </row>
    <row r="304" spans="1:12" hidden="1" x14ac:dyDescent="0.3">
      <c r="A304" s="3">
        <v>44727</v>
      </c>
      <c r="B304" s="3">
        <v>44787</v>
      </c>
      <c r="C304" s="4">
        <f t="shared" si="8"/>
        <v>123</v>
      </c>
      <c r="D304" s="5" t="s">
        <v>366</v>
      </c>
      <c r="E304" s="5">
        <v>20601830818</v>
      </c>
      <c r="F304" s="5" t="s">
        <v>301</v>
      </c>
      <c r="G304" s="5" t="s">
        <v>13</v>
      </c>
      <c r="H304" s="5" t="s">
        <v>29</v>
      </c>
      <c r="I304" s="31">
        <v>0</v>
      </c>
      <c r="J304" s="31">
        <v>206.5</v>
      </c>
      <c r="K304" s="6" t="str">
        <f t="shared" si="9"/>
        <v>90 &lt;= 180 DIAS</v>
      </c>
      <c r="L304" s="7" t="str">
        <f>_xlfn.CONCAT(TEXT(MONTH(DATA[[#This Row],[FECHA DE VENCIMIENTO]]),"00"),"-",TEXT(DATA[[#This Row],[FECHA DE VENCIMIENTO]],"MMM"))</f>
        <v>08-Ago</v>
      </c>
    </row>
    <row r="305" spans="1:12" hidden="1" x14ac:dyDescent="0.3">
      <c r="A305" s="3">
        <v>44727</v>
      </c>
      <c r="B305" s="3">
        <v>44787</v>
      </c>
      <c r="C305" s="4">
        <f t="shared" si="8"/>
        <v>123</v>
      </c>
      <c r="D305" s="5" t="s">
        <v>365</v>
      </c>
      <c r="E305" s="5">
        <v>20601830818</v>
      </c>
      <c r="F305" s="5" t="s">
        <v>301</v>
      </c>
      <c r="G305" s="5" t="s">
        <v>13</v>
      </c>
      <c r="H305" s="5" t="s">
        <v>29</v>
      </c>
      <c r="I305" s="31">
        <v>0</v>
      </c>
      <c r="J305" s="31">
        <v>1020.7</v>
      </c>
      <c r="K305" s="6" t="str">
        <f t="shared" si="9"/>
        <v>90 &lt;= 180 DIAS</v>
      </c>
      <c r="L305" s="7" t="str">
        <f>_xlfn.CONCAT(TEXT(MONTH(DATA[[#This Row],[FECHA DE VENCIMIENTO]]),"00"),"-",TEXT(DATA[[#This Row],[FECHA DE VENCIMIENTO]],"MMM"))</f>
        <v>08-Ago</v>
      </c>
    </row>
    <row r="306" spans="1:12" hidden="1" x14ac:dyDescent="0.3">
      <c r="A306" s="3">
        <v>44757</v>
      </c>
      <c r="B306" s="3">
        <v>44787</v>
      </c>
      <c r="C306" s="4">
        <f t="shared" si="8"/>
        <v>123</v>
      </c>
      <c r="D306" s="5" t="s">
        <v>367</v>
      </c>
      <c r="E306" s="5">
        <v>20538241378</v>
      </c>
      <c r="F306" s="5" t="s">
        <v>236</v>
      </c>
      <c r="G306" s="5" t="s">
        <v>13</v>
      </c>
      <c r="H306" s="5" t="s">
        <v>7</v>
      </c>
      <c r="I306" s="31">
        <v>703.42</v>
      </c>
      <c r="J306" s="31">
        <v>0</v>
      </c>
      <c r="K306" s="6" t="str">
        <f t="shared" si="9"/>
        <v>90 &lt;= 180 DIAS</v>
      </c>
      <c r="L306" s="7" t="str">
        <f>_xlfn.CONCAT(TEXT(MONTH(DATA[[#This Row],[FECHA DE VENCIMIENTO]]),"00"),"-",TEXT(DATA[[#This Row],[FECHA DE VENCIMIENTO]],"MMM"))</f>
        <v>08-Ago</v>
      </c>
    </row>
    <row r="307" spans="1:12" hidden="1" x14ac:dyDescent="0.3">
      <c r="A307" s="3">
        <v>44729</v>
      </c>
      <c r="B307" s="3">
        <v>44789</v>
      </c>
      <c r="C307" s="4">
        <f t="shared" si="8"/>
        <v>121</v>
      </c>
      <c r="D307" s="5" t="s">
        <v>368</v>
      </c>
      <c r="E307" s="5">
        <v>20601830818</v>
      </c>
      <c r="F307" s="5" t="s">
        <v>301</v>
      </c>
      <c r="G307" s="5" t="s">
        <v>13</v>
      </c>
      <c r="H307" s="5" t="s">
        <v>7</v>
      </c>
      <c r="I307" s="31">
        <v>1880.92</v>
      </c>
      <c r="J307" s="31">
        <v>0</v>
      </c>
      <c r="K307" s="6" t="str">
        <f t="shared" si="9"/>
        <v>90 &lt;= 180 DIAS</v>
      </c>
      <c r="L307" s="7" t="str">
        <f>_xlfn.CONCAT(TEXT(MONTH(DATA[[#This Row],[FECHA DE VENCIMIENTO]]),"00"),"-",TEXT(DATA[[#This Row],[FECHA DE VENCIMIENTO]],"MMM"))</f>
        <v>08-Ago</v>
      </c>
    </row>
    <row r="308" spans="1:12" hidden="1" x14ac:dyDescent="0.3">
      <c r="A308" s="3">
        <v>44789</v>
      </c>
      <c r="B308" s="3">
        <v>44789</v>
      </c>
      <c r="C308" s="4">
        <f t="shared" si="8"/>
        <v>121</v>
      </c>
      <c r="D308" s="5" t="s">
        <v>370</v>
      </c>
      <c r="E308" s="5">
        <v>20527979936</v>
      </c>
      <c r="F308" s="5" t="s">
        <v>306</v>
      </c>
      <c r="G308" s="5" t="s">
        <v>33</v>
      </c>
      <c r="H308" s="5" t="s">
        <v>7</v>
      </c>
      <c r="I308" s="31">
        <v>778.8</v>
      </c>
      <c r="J308" s="31">
        <v>0</v>
      </c>
      <c r="K308" s="6" t="str">
        <f t="shared" si="9"/>
        <v>90 &lt;= 180 DIAS</v>
      </c>
      <c r="L308" s="7" t="str">
        <f>_xlfn.CONCAT(TEXT(MONTH(DATA[[#This Row],[FECHA DE VENCIMIENTO]]),"00"),"-",TEXT(DATA[[#This Row],[FECHA DE VENCIMIENTO]],"MMM"))</f>
        <v>08-Ago</v>
      </c>
    </row>
    <row r="309" spans="1:12" hidden="1" x14ac:dyDescent="0.3">
      <c r="A309" s="3">
        <v>44789</v>
      </c>
      <c r="B309" s="3">
        <v>44789</v>
      </c>
      <c r="C309" s="4">
        <f t="shared" si="8"/>
        <v>121</v>
      </c>
      <c r="D309" s="5" t="s">
        <v>369</v>
      </c>
      <c r="E309" s="5">
        <v>20527979936</v>
      </c>
      <c r="F309" s="5" t="s">
        <v>306</v>
      </c>
      <c r="G309" s="5" t="s">
        <v>33</v>
      </c>
      <c r="H309" s="5" t="s">
        <v>29</v>
      </c>
      <c r="I309" s="31">
        <v>0</v>
      </c>
      <c r="J309" s="31">
        <v>103.25</v>
      </c>
      <c r="K309" s="6" t="str">
        <f t="shared" si="9"/>
        <v>90 &lt;= 180 DIAS</v>
      </c>
      <c r="L309" s="7" t="str">
        <f>_xlfn.CONCAT(TEXT(MONTH(DATA[[#This Row],[FECHA DE VENCIMIENTO]]),"00"),"-",TEXT(DATA[[#This Row],[FECHA DE VENCIMIENTO]],"MMM"))</f>
        <v>08-Ago</v>
      </c>
    </row>
    <row r="310" spans="1:12" hidden="1" x14ac:dyDescent="0.3">
      <c r="A310" s="3">
        <v>44789</v>
      </c>
      <c r="B310" s="3">
        <v>44789</v>
      </c>
      <c r="C310" s="4">
        <f t="shared" si="8"/>
        <v>121</v>
      </c>
      <c r="D310" s="5" t="s">
        <v>372</v>
      </c>
      <c r="E310" s="5">
        <v>20527979936</v>
      </c>
      <c r="F310" s="5" t="s">
        <v>306</v>
      </c>
      <c r="G310" s="5" t="s">
        <v>33</v>
      </c>
      <c r="H310" s="5" t="s">
        <v>7</v>
      </c>
      <c r="I310" s="31">
        <v>4071</v>
      </c>
      <c r="J310" s="31">
        <v>0</v>
      </c>
      <c r="K310" s="6" t="str">
        <f t="shared" si="9"/>
        <v>90 &lt;= 180 DIAS</v>
      </c>
      <c r="L310" s="7" t="str">
        <f>_xlfn.CONCAT(TEXT(MONTH(DATA[[#This Row],[FECHA DE VENCIMIENTO]]),"00"),"-",TEXT(DATA[[#This Row],[FECHA DE VENCIMIENTO]],"MMM"))</f>
        <v>08-Ago</v>
      </c>
    </row>
    <row r="311" spans="1:12" hidden="1" x14ac:dyDescent="0.3">
      <c r="A311" s="3">
        <v>44789</v>
      </c>
      <c r="B311" s="3">
        <v>44789</v>
      </c>
      <c r="C311" s="4">
        <f t="shared" si="8"/>
        <v>121</v>
      </c>
      <c r="D311" s="5" t="s">
        <v>371</v>
      </c>
      <c r="E311" s="5">
        <v>20527979936</v>
      </c>
      <c r="F311" s="5" t="s">
        <v>306</v>
      </c>
      <c r="G311" s="5" t="s">
        <v>33</v>
      </c>
      <c r="H311" s="5" t="s">
        <v>29</v>
      </c>
      <c r="I311" s="31">
        <v>0</v>
      </c>
      <c r="J311" s="31">
        <v>206.5</v>
      </c>
      <c r="K311" s="6" t="str">
        <f t="shared" si="9"/>
        <v>90 &lt;= 180 DIAS</v>
      </c>
      <c r="L311" s="7" t="str">
        <f>_xlfn.CONCAT(TEXT(MONTH(DATA[[#This Row],[FECHA DE VENCIMIENTO]]),"00"),"-",TEXT(DATA[[#This Row],[FECHA DE VENCIMIENTO]],"MMM"))</f>
        <v>08-Ago</v>
      </c>
    </row>
    <row r="312" spans="1:12" hidden="1" x14ac:dyDescent="0.3">
      <c r="A312" s="3">
        <v>44751</v>
      </c>
      <c r="B312" s="3">
        <v>44796</v>
      </c>
      <c r="C312" s="4">
        <f t="shared" si="8"/>
        <v>114</v>
      </c>
      <c r="D312" s="5" t="s">
        <v>376</v>
      </c>
      <c r="E312" s="5">
        <v>20538241378</v>
      </c>
      <c r="F312" s="5" t="s">
        <v>236</v>
      </c>
      <c r="G312" s="5" t="s">
        <v>13</v>
      </c>
      <c r="H312" s="5" t="s">
        <v>7</v>
      </c>
      <c r="I312" s="31">
        <v>2796.6</v>
      </c>
      <c r="J312" s="31">
        <v>0</v>
      </c>
      <c r="K312" s="6" t="str">
        <f t="shared" si="9"/>
        <v>90 &lt;= 180 DIAS</v>
      </c>
      <c r="L312" s="7" t="str">
        <f>_xlfn.CONCAT(TEXT(MONTH(DATA[[#This Row],[FECHA DE VENCIMIENTO]]),"00"),"-",TEXT(DATA[[#This Row],[FECHA DE VENCIMIENTO]],"MMM"))</f>
        <v>08-Ago</v>
      </c>
    </row>
    <row r="313" spans="1:12" ht="31.2" hidden="1" x14ac:dyDescent="0.3">
      <c r="A313" s="3">
        <v>44736</v>
      </c>
      <c r="B313" s="3">
        <v>44796</v>
      </c>
      <c r="C313" s="4">
        <f t="shared" si="8"/>
        <v>114</v>
      </c>
      <c r="D313" s="5" t="s">
        <v>374</v>
      </c>
      <c r="E313" s="5">
        <v>10308337931</v>
      </c>
      <c r="F313" s="5" t="s">
        <v>375</v>
      </c>
      <c r="G313" s="5" t="s">
        <v>46</v>
      </c>
      <c r="H313" s="5" t="s">
        <v>29</v>
      </c>
      <c r="I313" s="31">
        <v>0</v>
      </c>
      <c r="J313" s="31">
        <v>3079.8</v>
      </c>
      <c r="K313" s="6" t="str">
        <f t="shared" si="9"/>
        <v>90 &lt;= 180 DIAS</v>
      </c>
      <c r="L313" s="7" t="str">
        <f>_xlfn.CONCAT(TEXT(MONTH(DATA[[#This Row],[FECHA DE VENCIMIENTO]]),"00"),"-",TEXT(DATA[[#This Row],[FECHA DE VENCIMIENTO]],"MMM"))</f>
        <v>08-Ago</v>
      </c>
    </row>
    <row r="314" spans="1:12" hidden="1" x14ac:dyDescent="0.3">
      <c r="A314" s="3">
        <v>44767</v>
      </c>
      <c r="B314" s="3">
        <v>44797</v>
      </c>
      <c r="C314" s="4">
        <f t="shared" si="8"/>
        <v>113</v>
      </c>
      <c r="D314" s="5" t="s">
        <v>378</v>
      </c>
      <c r="E314" s="5">
        <v>20455732574</v>
      </c>
      <c r="F314" s="5" t="s">
        <v>351</v>
      </c>
      <c r="G314" s="5" t="s">
        <v>33</v>
      </c>
      <c r="H314" s="5" t="s">
        <v>7</v>
      </c>
      <c r="I314" s="31">
        <v>2265.23</v>
      </c>
      <c r="J314" s="31">
        <v>0</v>
      </c>
      <c r="K314" s="6" t="str">
        <f t="shared" si="9"/>
        <v>90 &lt;= 180 DIAS</v>
      </c>
      <c r="L314" s="7" t="str">
        <f>_xlfn.CONCAT(TEXT(MONTH(DATA[[#This Row],[FECHA DE VENCIMIENTO]]),"00"),"-",TEXT(DATA[[#This Row],[FECHA DE VENCIMIENTO]],"MMM"))</f>
        <v>08-Ago</v>
      </c>
    </row>
    <row r="315" spans="1:12" hidden="1" x14ac:dyDescent="0.3">
      <c r="A315" s="3">
        <v>44768</v>
      </c>
      <c r="B315" s="3">
        <v>44798</v>
      </c>
      <c r="C315" s="4">
        <f t="shared" si="8"/>
        <v>112</v>
      </c>
      <c r="D315" s="5" t="s">
        <v>379</v>
      </c>
      <c r="E315" s="5">
        <v>29417677</v>
      </c>
      <c r="F315" s="5" t="s">
        <v>380</v>
      </c>
      <c r="G315" s="5" t="s">
        <v>33</v>
      </c>
      <c r="H315" s="5" t="s">
        <v>7</v>
      </c>
      <c r="I315" s="31">
        <v>1375.38</v>
      </c>
      <c r="J315" s="31">
        <v>0</v>
      </c>
      <c r="K315" s="6" t="str">
        <f t="shared" si="9"/>
        <v>90 &lt;= 180 DIAS</v>
      </c>
      <c r="L315" s="7" t="str">
        <f>_xlfn.CONCAT(TEXT(MONTH(DATA[[#This Row],[FECHA DE VENCIMIENTO]]),"00"),"-",TEXT(DATA[[#This Row],[FECHA DE VENCIMIENTO]],"MMM"))</f>
        <v>08-Ago</v>
      </c>
    </row>
    <row r="316" spans="1:12" hidden="1" x14ac:dyDescent="0.3">
      <c r="A316" s="3">
        <v>44768</v>
      </c>
      <c r="B316" s="3">
        <v>44798</v>
      </c>
      <c r="C316" s="4">
        <f t="shared" si="8"/>
        <v>112</v>
      </c>
      <c r="D316" s="5" t="s">
        <v>383</v>
      </c>
      <c r="E316" s="5">
        <v>10444550410</v>
      </c>
      <c r="F316" s="5" t="s">
        <v>382</v>
      </c>
      <c r="G316" s="5" t="s">
        <v>33</v>
      </c>
      <c r="H316" s="5" t="s">
        <v>29</v>
      </c>
      <c r="I316" s="31">
        <v>0</v>
      </c>
      <c r="J316" s="31">
        <v>430.07</v>
      </c>
      <c r="K316" s="6" t="str">
        <f t="shared" si="9"/>
        <v>90 &lt;= 180 DIAS</v>
      </c>
      <c r="L316" s="7" t="str">
        <f>_xlfn.CONCAT(TEXT(MONTH(DATA[[#This Row],[FECHA DE VENCIMIENTO]]),"00"),"-",TEXT(DATA[[#This Row],[FECHA DE VENCIMIENTO]],"MMM"))</f>
        <v>08-Ago</v>
      </c>
    </row>
    <row r="317" spans="1:12" hidden="1" x14ac:dyDescent="0.3">
      <c r="A317" s="3">
        <v>44739</v>
      </c>
      <c r="B317" s="3">
        <v>44799</v>
      </c>
      <c r="C317" s="4">
        <f t="shared" si="8"/>
        <v>111</v>
      </c>
      <c r="D317" s="5" t="s">
        <v>385</v>
      </c>
      <c r="E317" s="5">
        <v>20601830818</v>
      </c>
      <c r="F317" s="5" t="s">
        <v>301</v>
      </c>
      <c r="G317" s="5" t="s">
        <v>13</v>
      </c>
      <c r="H317" s="5" t="s">
        <v>7</v>
      </c>
      <c r="I317" s="31">
        <v>5147.75</v>
      </c>
      <c r="J317" s="31">
        <v>0</v>
      </c>
      <c r="K317" s="6" t="str">
        <f t="shared" si="9"/>
        <v>90 &lt;= 180 DIAS</v>
      </c>
      <c r="L317" s="7" t="str">
        <f>_xlfn.CONCAT(TEXT(MONTH(DATA[[#This Row],[FECHA DE VENCIMIENTO]]),"00"),"-",TEXT(DATA[[#This Row],[FECHA DE VENCIMIENTO]],"MMM"))</f>
        <v>08-Ago</v>
      </c>
    </row>
    <row r="318" spans="1:12" hidden="1" x14ac:dyDescent="0.3">
      <c r="A318" s="3">
        <v>44754</v>
      </c>
      <c r="B318" s="3">
        <v>44799</v>
      </c>
      <c r="C318" s="4">
        <f t="shared" si="8"/>
        <v>111</v>
      </c>
      <c r="D318" s="5" t="s">
        <v>386</v>
      </c>
      <c r="E318" s="5">
        <v>20538241378</v>
      </c>
      <c r="F318" s="5" t="s">
        <v>236</v>
      </c>
      <c r="G318" s="5" t="s">
        <v>13</v>
      </c>
      <c r="H318" s="5" t="s">
        <v>7</v>
      </c>
      <c r="I318" s="31">
        <v>4276.45</v>
      </c>
      <c r="J318" s="31">
        <v>0</v>
      </c>
      <c r="K318" s="6" t="str">
        <f t="shared" si="9"/>
        <v>90 &lt;= 180 DIAS</v>
      </c>
      <c r="L318" s="7" t="str">
        <f>_xlfn.CONCAT(TEXT(MONTH(DATA[[#This Row],[FECHA DE VENCIMIENTO]]),"00"),"-",TEXT(DATA[[#This Row],[FECHA DE VENCIMIENTO]],"MMM"))</f>
        <v>08-Ago</v>
      </c>
    </row>
    <row r="319" spans="1:12" hidden="1" x14ac:dyDescent="0.3">
      <c r="A319" s="3">
        <v>44740</v>
      </c>
      <c r="B319" s="3">
        <v>44800</v>
      </c>
      <c r="C319" s="4">
        <f t="shared" si="8"/>
        <v>110</v>
      </c>
      <c r="D319" s="5" t="s">
        <v>387</v>
      </c>
      <c r="E319" s="5">
        <v>20601830818</v>
      </c>
      <c r="F319" s="5" t="s">
        <v>301</v>
      </c>
      <c r="G319" s="5" t="s">
        <v>13</v>
      </c>
      <c r="H319" s="5" t="s">
        <v>7</v>
      </c>
      <c r="I319" s="31">
        <v>1416</v>
      </c>
      <c r="J319" s="31">
        <v>0</v>
      </c>
      <c r="K319" s="6" t="str">
        <f t="shared" si="9"/>
        <v>90 &lt;= 180 DIAS</v>
      </c>
      <c r="L319" s="7" t="str">
        <f>_xlfn.CONCAT(TEXT(MONTH(DATA[[#This Row],[FECHA DE VENCIMIENTO]]),"00"),"-",TEXT(DATA[[#This Row],[FECHA DE VENCIMIENTO]],"MMM"))</f>
        <v>08-Ago</v>
      </c>
    </row>
    <row r="320" spans="1:12" ht="31.2" hidden="1" x14ac:dyDescent="0.3">
      <c r="A320" s="3">
        <v>44740</v>
      </c>
      <c r="B320" s="3">
        <v>44800</v>
      </c>
      <c r="C320" s="4">
        <f t="shared" si="8"/>
        <v>110</v>
      </c>
      <c r="D320" s="5" t="s">
        <v>388</v>
      </c>
      <c r="E320" s="5">
        <v>10308337931</v>
      </c>
      <c r="F320" s="5" t="s">
        <v>375</v>
      </c>
      <c r="G320" s="5" t="s">
        <v>46</v>
      </c>
      <c r="H320" s="5" t="s">
        <v>29</v>
      </c>
      <c r="I320" s="31">
        <v>0</v>
      </c>
      <c r="J320" s="31">
        <v>821.28</v>
      </c>
      <c r="K320" s="6" t="str">
        <f t="shared" si="9"/>
        <v>90 &lt;= 180 DIAS</v>
      </c>
      <c r="L320" s="7" t="str">
        <f>_xlfn.CONCAT(TEXT(MONTH(DATA[[#This Row],[FECHA DE VENCIMIENTO]]),"00"),"-",TEXT(DATA[[#This Row],[FECHA DE VENCIMIENTO]],"MMM"))</f>
        <v>08-Ago</v>
      </c>
    </row>
    <row r="321" spans="1:12" hidden="1" x14ac:dyDescent="0.3">
      <c r="A321" s="3">
        <v>44742</v>
      </c>
      <c r="B321" s="3">
        <v>44802</v>
      </c>
      <c r="C321" s="4">
        <f t="shared" si="8"/>
        <v>108</v>
      </c>
      <c r="D321" s="5" t="s">
        <v>391</v>
      </c>
      <c r="E321" s="5">
        <v>20320731314</v>
      </c>
      <c r="F321" s="5" t="s">
        <v>331</v>
      </c>
      <c r="G321" s="5" t="s">
        <v>16</v>
      </c>
      <c r="H321" s="5" t="s">
        <v>29</v>
      </c>
      <c r="I321" s="31">
        <v>0</v>
      </c>
      <c r="J321" s="31">
        <v>533.12</v>
      </c>
      <c r="K321" s="6" t="str">
        <f t="shared" si="9"/>
        <v>90 &lt;= 180 DIAS</v>
      </c>
      <c r="L321" s="7" t="str">
        <f>_xlfn.CONCAT(TEXT(MONTH(DATA[[#This Row],[FECHA DE VENCIMIENTO]]),"00"),"-",TEXT(DATA[[#This Row],[FECHA DE VENCIMIENTO]],"MMM"))</f>
        <v>08-Ago</v>
      </c>
    </row>
    <row r="322" spans="1:12" ht="31.2" hidden="1" x14ac:dyDescent="0.3">
      <c r="A322" s="3">
        <v>44742</v>
      </c>
      <c r="B322" s="3">
        <v>44802</v>
      </c>
      <c r="C322" s="4">
        <f t="shared" si="8"/>
        <v>108</v>
      </c>
      <c r="D322" s="5" t="s">
        <v>390</v>
      </c>
      <c r="E322" s="5">
        <v>10308337931</v>
      </c>
      <c r="F322" s="5" t="s">
        <v>375</v>
      </c>
      <c r="G322" s="5" t="s">
        <v>46</v>
      </c>
      <c r="H322" s="5" t="s">
        <v>29</v>
      </c>
      <c r="I322" s="31">
        <v>0</v>
      </c>
      <c r="J322" s="31">
        <v>3079.8</v>
      </c>
      <c r="K322" s="6" t="str">
        <f t="shared" si="9"/>
        <v>90 &lt;= 180 DIAS</v>
      </c>
      <c r="L322" s="7" t="str">
        <f>_xlfn.CONCAT(TEXT(MONTH(DATA[[#This Row],[FECHA DE VENCIMIENTO]]),"00"),"-",TEXT(DATA[[#This Row],[FECHA DE VENCIMIENTO]],"MMM"))</f>
        <v>08-Ago</v>
      </c>
    </row>
    <row r="323" spans="1:12" hidden="1" x14ac:dyDescent="0.3">
      <c r="A323" s="3">
        <v>44775</v>
      </c>
      <c r="B323" s="3">
        <v>44805</v>
      </c>
      <c r="C323" s="4">
        <f t="shared" si="8"/>
        <v>105</v>
      </c>
      <c r="D323" s="5" t="s">
        <v>980</v>
      </c>
      <c r="E323" s="5">
        <v>20608795988</v>
      </c>
      <c r="F323" s="5" t="s">
        <v>981</v>
      </c>
      <c r="G323" s="5" t="s">
        <v>33</v>
      </c>
      <c r="H323" s="5" t="s">
        <v>7</v>
      </c>
      <c r="I323" s="31">
        <v>1032.3399999999999</v>
      </c>
      <c r="J323" s="31">
        <v>0</v>
      </c>
      <c r="K323" s="6" t="str">
        <f t="shared" si="9"/>
        <v>90 &lt;= 180 DIAS</v>
      </c>
      <c r="L323" s="7" t="str">
        <f>_xlfn.CONCAT(TEXT(MONTH(DATA[[#This Row],[FECHA DE VENCIMIENTO]]),"00"),"-",TEXT(DATA[[#This Row],[FECHA DE VENCIMIENTO]],"MMM"))</f>
        <v>09-Set</v>
      </c>
    </row>
    <row r="324" spans="1:12" hidden="1" x14ac:dyDescent="0.3">
      <c r="A324" s="3">
        <v>44746</v>
      </c>
      <c r="B324" s="3">
        <v>44806</v>
      </c>
      <c r="C324" s="4">
        <f t="shared" ref="C324:C387" si="10">$E$2-B324</f>
        <v>104</v>
      </c>
      <c r="D324" s="5" t="s">
        <v>504</v>
      </c>
      <c r="E324" s="5">
        <v>20320731314</v>
      </c>
      <c r="F324" s="5" t="s">
        <v>331</v>
      </c>
      <c r="G324" s="5" t="s">
        <v>16</v>
      </c>
      <c r="H324" s="5" t="s">
        <v>29</v>
      </c>
      <c r="I324" s="31">
        <v>0</v>
      </c>
      <c r="J324" s="31">
        <v>7533.12</v>
      </c>
      <c r="K324" s="6" t="str">
        <f t="shared" ref="K324:K387" si="11">IF(C324&gt;180,"180 &lt;= 360 DIAS",IF(C324&gt;90,"90 &lt;= 180 DIAS",IF(C324&gt;60,"60 &lt;= 90 DIAS",IF(C324&gt;30,"30 &lt;= 60 DIAS",IF(C324&gt;15,"15 &lt;= 30 DIAS","1-POR VENCER")))))</f>
        <v>90 &lt;= 180 DIAS</v>
      </c>
      <c r="L324" s="7" t="str">
        <f>_xlfn.CONCAT(TEXT(MONTH(DATA[[#This Row],[FECHA DE VENCIMIENTO]]),"00"),"-",TEXT(DATA[[#This Row],[FECHA DE VENCIMIENTO]],"MMM"))</f>
        <v>09-Set</v>
      </c>
    </row>
    <row r="325" spans="1:12" hidden="1" x14ac:dyDescent="0.3">
      <c r="A325" s="3">
        <v>44792</v>
      </c>
      <c r="B325" s="3">
        <v>44807</v>
      </c>
      <c r="C325" s="4">
        <f t="shared" si="10"/>
        <v>103</v>
      </c>
      <c r="D325" s="5" t="s">
        <v>1268</v>
      </c>
      <c r="E325" s="5">
        <v>20480214502</v>
      </c>
      <c r="F325" s="5" t="s">
        <v>1269</v>
      </c>
      <c r="G325" s="5" t="s">
        <v>26</v>
      </c>
      <c r="H325" s="5" t="s">
        <v>7</v>
      </c>
      <c r="I325" s="31">
        <v>1135.75</v>
      </c>
      <c r="J325" s="31">
        <v>0</v>
      </c>
      <c r="K325" s="6" t="str">
        <f t="shared" si="11"/>
        <v>90 &lt;= 180 DIAS</v>
      </c>
      <c r="L325" s="7" t="str">
        <f>_xlfn.CONCAT(TEXT(MONTH(DATA[[#This Row],[FECHA DE VENCIMIENTO]]),"00"),"-",TEXT(DATA[[#This Row],[FECHA DE VENCIMIENTO]],"MMM"))</f>
        <v>09-Set</v>
      </c>
    </row>
    <row r="326" spans="1:12" hidden="1" x14ac:dyDescent="0.3">
      <c r="A326" s="3">
        <v>44792</v>
      </c>
      <c r="B326" s="3">
        <v>44807</v>
      </c>
      <c r="C326" s="4">
        <f t="shared" si="10"/>
        <v>103</v>
      </c>
      <c r="D326" s="5" t="s">
        <v>1270</v>
      </c>
      <c r="E326" s="5">
        <v>20480214502</v>
      </c>
      <c r="F326" s="5" t="s">
        <v>1269</v>
      </c>
      <c r="G326" s="5" t="s">
        <v>26</v>
      </c>
      <c r="H326" s="5" t="s">
        <v>29</v>
      </c>
      <c r="I326" s="31">
        <v>0</v>
      </c>
      <c r="J326" s="31">
        <v>318.60000000000002</v>
      </c>
      <c r="K326" s="6" t="str">
        <f t="shared" si="11"/>
        <v>90 &lt;= 180 DIAS</v>
      </c>
      <c r="L326" s="7" t="str">
        <f>_xlfn.CONCAT(TEXT(MONTH(DATA[[#This Row],[FECHA DE VENCIMIENTO]]),"00"),"-",TEXT(DATA[[#This Row],[FECHA DE VENCIMIENTO]],"MMM"))</f>
        <v>09-Set</v>
      </c>
    </row>
    <row r="327" spans="1:12" hidden="1" x14ac:dyDescent="0.3">
      <c r="A327" s="3">
        <v>44748</v>
      </c>
      <c r="B327" s="3">
        <v>44808</v>
      </c>
      <c r="C327" s="4">
        <f t="shared" si="10"/>
        <v>102</v>
      </c>
      <c r="D327" s="5" t="s">
        <v>521</v>
      </c>
      <c r="E327" s="5">
        <v>20320731314</v>
      </c>
      <c r="F327" s="5" t="s">
        <v>331</v>
      </c>
      <c r="G327" s="5" t="s">
        <v>16</v>
      </c>
      <c r="H327" s="5" t="s">
        <v>29</v>
      </c>
      <c r="I327" s="31">
        <v>0</v>
      </c>
      <c r="J327" s="31">
        <v>914.74</v>
      </c>
      <c r="K327" s="6" t="str">
        <f t="shared" si="11"/>
        <v>90 &lt;= 180 DIAS</v>
      </c>
      <c r="L327" s="7" t="str">
        <f>_xlfn.CONCAT(TEXT(MONTH(DATA[[#This Row],[FECHA DE VENCIMIENTO]]),"00"),"-",TEXT(DATA[[#This Row],[FECHA DE VENCIMIENTO]],"MMM"))</f>
        <v>09-Set</v>
      </c>
    </row>
    <row r="328" spans="1:12" hidden="1" x14ac:dyDescent="0.3">
      <c r="A328" s="3">
        <v>44778</v>
      </c>
      <c r="B328" s="3">
        <v>44808</v>
      </c>
      <c r="C328" s="4">
        <f t="shared" si="10"/>
        <v>102</v>
      </c>
      <c r="D328" s="5" t="s">
        <v>1210</v>
      </c>
      <c r="E328" s="5">
        <v>45463765</v>
      </c>
      <c r="F328" s="5" t="s">
        <v>314</v>
      </c>
      <c r="G328" s="5" t="s">
        <v>33</v>
      </c>
      <c r="H328" s="5" t="s">
        <v>7</v>
      </c>
      <c r="I328" s="31">
        <v>4585.53</v>
      </c>
      <c r="J328" s="31">
        <v>0</v>
      </c>
      <c r="K328" s="6" t="str">
        <f t="shared" si="11"/>
        <v>90 &lt;= 180 DIAS</v>
      </c>
      <c r="L328" s="7" t="str">
        <f>_xlfn.CONCAT(TEXT(MONTH(DATA[[#This Row],[FECHA DE VENCIMIENTO]]),"00"),"-",TEXT(DATA[[#This Row],[FECHA DE VENCIMIENTO]],"MMM"))</f>
        <v>09-Set</v>
      </c>
    </row>
    <row r="329" spans="1:12" hidden="1" x14ac:dyDescent="0.3">
      <c r="A329" s="3">
        <v>44778</v>
      </c>
      <c r="B329" s="3">
        <v>44808</v>
      </c>
      <c r="C329" s="4">
        <f t="shared" si="10"/>
        <v>102</v>
      </c>
      <c r="D329" s="5" t="s">
        <v>1211</v>
      </c>
      <c r="E329" s="5">
        <v>45463765</v>
      </c>
      <c r="F329" s="5" t="s">
        <v>314</v>
      </c>
      <c r="G329" s="5" t="s">
        <v>33</v>
      </c>
      <c r="H329" s="5" t="s">
        <v>7</v>
      </c>
      <c r="I329" s="31">
        <v>581.89</v>
      </c>
      <c r="J329" s="31">
        <v>0</v>
      </c>
      <c r="K329" s="6" t="str">
        <f t="shared" si="11"/>
        <v>90 &lt;= 180 DIAS</v>
      </c>
      <c r="L329" s="7" t="str">
        <f>_xlfn.CONCAT(TEXT(MONTH(DATA[[#This Row],[FECHA DE VENCIMIENTO]]),"00"),"-",TEXT(DATA[[#This Row],[FECHA DE VENCIMIENTO]],"MMM"))</f>
        <v>09-Set</v>
      </c>
    </row>
    <row r="330" spans="1:12" hidden="1" x14ac:dyDescent="0.3">
      <c r="A330" s="3">
        <v>44749</v>
      </c>
      <c r="B330" s="3">
        <v>44809</v>
      </c>
      <c r="C330" s="4">
        <f t="shared" si="10"/>
        <v>101</v>
      </c>
      <c r="D330" s="5" t="s">
        <v>514</v>
      </c>
      <c r="E330" s="5">
        <v>20320731314</v>
      </c>
      <c r="F330" s="5" t="s">
        <v>331</v>
      </c>
      <c r="G330" s="5" t="s">
        <v>16</v>
      </c>
      <c r="H330" s="5" t="s">
        <v>29</v>
      </c>
      <c r="I330" s="31">
        <v>0</v>
      </c>
      <c r="J330" s="31">
        <v>8477.1200000000008</v>
      </c>
      <c r="K330" s="6" t="str">
        <f t="shared" si="11"/>
        <v>90 &lt;= 180 DIAS</v>
      </c>
      <c r="L330" s="7" t="str">
        <f>_xlfn.CONCAT(TEXT(MONTH(DATA[[#This Row],[FECHA DE VENCIMIENTO]]),"00"),"-",TEXT(DATA[[#This Row],[FECHA DE VENCIMIENTO]],"MMM"))</f>
        <v>09-Set</v>
      </c>
    </row>
    <row r="331" spans="1:12" hidden="1" x14ac:dyDescent="0.3">
      <c r="A331" s="3">
        <v>44813</v>
      </c>
      <c r="B331" s="3">
        <v>44810</v>
      </c>
      <c r="C331" s="4">
        <f t="shared" si="10"/>
        <v>100</v>
      </c>
      <c r="D331" s="5" t="s">
        <v>1145</v>
      </c>
      <c r="E331" s="5">
        <v>10459604613</v>
      </c>
      <c r="F331" s="5" t="s">
        <v>1144</v>
      </c>
      <c r="G331" s="5" t="s">
        <v>33</v>
      </c>
      <c r="H331" s="5" t="s">
        <v>29</v>
      </c>
      <c r="I331" s="31">
        <v>0</v>
      </c>
      <c r="J331" s="31">
        <v>146.32</v>
      </c>
      <c r="K331" s="6" t="str">
        <f t="shared" si="11"/>
        <v>90 &lt;= 180 DIAS</v>
      </c>
      <c r="L331" s="7" t="str">
        <f>_xlfn.CONCAT(TEXT(MONTH(DATA[[#This Row],[FECHA DE VENCIMIENTO]]),"00"),"-",TEXT(DATA[[#This Row],[FECHA DE VENCIMIENTO]],"MMM"))</f>
        <v>09-Set</v>
      </c>
    </row>
    <row r="332" spans="1:12" ht="31.2" hidden="1" x14ac:dyDescent="0.3">
      <c r="A332" s="3">
        <v>44783</v>
      </c>
      <c r="B332" s="3">
        <v>44813</v>
      </c>
      <c r="C332" s="4">
        <f t="shared" si="10"/>
        <v>97</v>
      </c>
      <c r="D332" s="5" t="s">
        <v>602</v>
      </c>
      <c r="E332" s="5">
        <v>20494006678</v>
      </c>
      <c r="F332" s="5" t="s">
        <v>337</v>
      </c>
      <c r="G332" s="5" t="s">
        <v>46</v>
      </c>
      <c r="H332" s="5" t="s">
        <v>7</v>
      </c>
      <c r="I332" s="31">
        <v>1843.53</v>
      </c>
      <c r="J332" s="31">
        <v>0</v>
      </c>
      <c r="K332" s="6" t="str">
        <f t="shared" si="11"/>
        <v>90 &lt;= 180 DIAS</v>
      </c>
      <c r="L332" s="7" t="str">
        <f>_xlfn.CONCAT(TEXT(MONTH(DATA[[#This Row],[FECHA DE VENCIMIENTO]]),"00"),"-",TEXT(DATA[[#This Row],[FECHA DE VENCIMIENTO]],"MMM"))</f>
        <v>09-Set</v>
      </c>
    </row>
    <row r="333" spans="1:12" hidden="1" x14ac:dyDescent="0.3">
      <c r="A333" s="3">
        <v>44768</v>
      </c>
      <c r="B333" s="3">
        <v>44813</v>
      </c>
      <c r="C333" s="4">
        <f t="shared" si="10"/>
        <v>97</v>
      </c>
      <c r="D333" s="5" t="s">
        <v>917</v>
      </c>
      <c r="E333" s="5">
        <v>20538241378</v>
      </c>
      <c r="F333" s="5" t="s">
        <v>236</v>
      </c>
      <c r="G333" s="5" t="s">
        <v>13</v>
      </c>
      <c r="H333" s="5" t="s">
        <v>7</v>
      </c>
      <c r="I333" s="31">
        <v>6737.43</v>
      </c>
      <c r="J333" s="31">
        <v>0</v>
      </c>
      <c r="K333" s="6" t="str">
        <f t="shared" si="11"/>
        <v>90 &lt;= 180 DIAS</v>
      </c>
      <c r="L333" s="7" t="str">
        <f>_xlfn.CONCAT(TEXT(MONTH(DATA[[#This Row],[FECHA DE VENCIMIENTO]]),"00"),"-",TEXT(DATA[[#This Row],[FECHA DE VENCIMIENTO]],"MMM"))</f>
        <v>09-Set</v>
      </c>
    </row>
    <row r="334" spans="1:12" hidden="1" x14ac:dyDescent="0.3">
      <c r="A334" s="3">
        <v>44813</v>
      </c>
      <c r="B334" s="3">
        <v>44813</v>
      </c>
      <c r="C334" s="4">
        <f t="shared" si="10"/>
        <v>97</v>
      </c>
      <c r="D334" s="5" t="s">
        <v>1143</v>
      </c>
      <c r="E334" s="5">
        <v>10459604613</v>
      </c>
      <c r="F334" s="5" t="s">
        <v>1144</v>
      </c>
      <c r="G334" s="5" t="s">
        <v>33</v>
      </c>
      <c r="H334" s="5" t="s">
        <v>7</v>
      </c>
      <c r="I334" s="31">
        <v>1026.25</v>
      </c>
      <c r="J334" s="31">
        <v>0</v>
      </c>
      <c r="K334" s="6" t="str">
        <f t="shared" si="11"/>
        <v>90 &lt;= 180 DIAS</v>
      </c>
      <c r="L334" s="7" t="str">
        <f>_xlfn.CONCAT(TEXT(MONTH(DATA[[#This Row],[FECHA DE VENCIMIENTO]]),"00"),"-",TEXT(DATA[[#This Row],[FECHA DE VENCIMIENTO]],"MMM"))</f>
        <v>09-Set</v>
      </c>
    </row>
    <row r="335" spans="1:12" hidden="1" x14ac:dyDescent="0.3">
      <c r="A335" s="3">
        <v>44756</v>
      </c>
      <c r="B335" s="3">
        <v>44816</v>
      </c>
      <c r="C335" s="4">
        <f t="shared" si="10"/>
        <v>94</v>
      </c>
      <c r="D335" s="5" t="s">
        <v>510</v>
      </c>
      <c r="E335" s="5">
        <v>20320731314</v>
      </c>
      <c r="F335" s="5" t="s">
        <v>331</v>
      </c>
      <c r="G335" s="5" t="s">
        <v>16</v>
      </c>
      <c r="H335" s="5" t="s">
        <v>29</v>
      </c>
      <c r="I335" s="31">
        <v>0</v>
      </c>
      <c r="J335" s="31">
        <v>8146.72</v>
      </c>
      <c r="K335" s="6" t="str">
        <f t="shared" si="11"/>
        <v>90 &lt;= 180 DIAS</v>
      </c>
      <c r="L335" s="7" t="str">
        <f>_xlfn.CONCAT(TEXT(MONTH(DATA[[#This Row],[FECHA DE VENCIMIENTO]]),"00"),"-",TEXT(DATA[[#This Row],[FECHA DE VENCIMIENTO]],"MMM"))</f>
        <v>09-Set</v>
      </c>
    </row>
    <row r="336" spans="1:12" hidden="1" x14ac:dyDescent="0.3">
      <c r="A336" s="3">
        <v>44816</v>
      </c>
      <c r="B336" s="3">
        <v>44816</v>
      </c>
      <c r="C336" s="4">
        <f t="shared" si="10"/>
        <v>94</v>
      </c>
      <c r="D336" s="5" t="s">
        <v>1265</v>
      </c>
      <c r="E336" s="5">
        <v>44335078</v>
      </c>
      <c r="F336" s="5" t="s">
        <v>1266</v>
      </c>
      <c r="G336" s="5" t="s">
        <v>33</v>
      </c>
      <c r="H336" s="5" t="s">
        <v>7</v>
      </c>
      <c r="I336" s="31">
        <v>798.37</v>
      </c>
      <c r="J336" s="31">
        <v>0</v>
      </c>
      <c r="K336" s="6" t="str">
        <f t="shared" si="11"/>
        <v>90 &lt;= 180 DIAS</v>
      </c>
      <c r="L336" s="7" t="str">
        <f>_xlfn.CONCAT(TEXT(MONTH(DATA[[#This Row],[FECHA DE VENCIMIENTO]]),"00"),"-",TEXT(DATA[[#This Row],[FECHA DE VENCIMIENTO]],"MMM"))</f>
        <v>09-Set</v>
      </c>
    </row>
    <row r="337" spans="1:12" hidden="1" x14ac:dyDescent="0.3">
      <c r="A337" s="3">
        <v>44817</v>
      </c>
      <c r="B337" s="3">
        <v>44817</v>
      </c>
      <c r="C337" s="4">
        <f t="shared" si="10"/>
        <v>93</v>
      </c>
      <c r="D337" s="5" t="s">
        <v>1072</v>
      </c>
      <c r="E337" s="5">
        <v>41412403</v>
      </c>
      <c r="F337" s="5" t="s">
        <v>1073</v>
      </c>
      <c r="G337" s="5" t="s">
        <v>13</v>
      </c>
      <c r="H337" s="5" t="s">
        <v>7</v>
      </c>
      <c r="I337" s="31">
        <v>50</v>
      </c>
      <c r="J337" s="31">
        <v>0</v>
      </c>
      <c r="K337" s="6" t="str">
        <f t="shared" si="11"/>
        <v>90 &lt;= 180 DIAS</v>
      </c>
      <c r="L337" s="7" t="str">
        <f>_xlfn.CONCAT(TEXT(MONTH(DATA[[#This Row],[FECHA DE VENCIMIENTO]]),"00"),"-",TEXT(DATA[[#This Row],[FECHA DE VENCIMIENTO]],"MMM"))</f>
        <v>09-Set</v>
      </c>
    </row>
    <row r="338" spans="1:12" hidden="1" x14ac:dyDescent="0.3">
      <c r="A338" s="3">
        <v>44774</v>
      </c>
      <c r="B338" s="3">
        <v>44819</v>
      </c>
      <c r="C338" s="4">
        <f t="shared" si="10"/>
        <v>91</v>
      </c>
      <c r="D338" s="5" t="s">
        <v>922</v>
      </c>
      <c r="E338" s="5">
        <v>20538241378</v>
      </c>
      <c r="F338" s="5" t="s">
        <v>236</v>
      </c>
      <c r="G338" s="5" t="s">
        <v>13</v>
      </c>
      <c r="H338" s="5" t="s">
        <v>7</v>
      </c>
      <c r="I338" s="31">
        <v>6242.2</v>
      </c>
      <c r="J338" s="31">
        <v>0</v>
      </c>
      <c r="K338" s="6" t="str">
        <f t="shared" si="11"/>
        <v>90 &lt;= 180 DIAS</v>
      </c>
      <c r="L338" s="7" t="str">
        <f>_xlfn.CONCAT(TEXT(MONTH(DATA[[#This Row],[FECHA DE VENCIMIENTO]]),"00"),"-",TEXT(DATA[[#This Row],[FECHA DE VENCIMIENTO]],"MMM"))</f>
        <v>09-Set</v>
      </c>
    </row>
    <row r="339" spans="1:12" ht="31.2" hidden="1" x14ac:dyDescent="0.3">
      <c r="A339" s="3">
        <v>44791</v>
      </c>
      <c r="B339" s="3">
        <v>44821</v>
      </c>
      <c r="C339" s="4">
        <f t="shared" si="10"/>
        <v>89</v>
      </c>
      <c r="D339" s="5" t="s">
        <v>622</v>
      </c>
      <c r="E339" s="5">
        <v>20393226332</v>
      </c>
      <c r="F339" s="5" t="s">
        <v>246</v>
      </c>
      <c r="G339" s="5" t="s">
        <v>46</v>
      </c>
      <c r="H339" s="5" t="s">
        <v>7</v>
      </c>
      <c r="I339" s="31">
        <v>8142</v>
      </c>
      <c r="J339" s="31">
        <v>0</v>
      </c>
      <c r="K339" s="6" t="str">
        <f t="shared" si="11"/>
        <v>60 &lt;= 90 DIAS</v>
      </c>
      <c r="L339" s="7" t="str">
        <f>_xlfn.CONCAT(TEXT(MONTH(DATA[[#This Row],[FECHA DE VENCIMIENTO]]),"00"),"-",TEXT(DATA[[#This Row],[FECHA DE VENCIMIENTO]],"MMM"))</f>
        <v>09-Set</v>
      </c>
    </row>
    <row r="340" spans="1:12" ht="31.2" hidden="1" x14ac:dyDescent="0.3">
      <c r="A340" s="3">
        <v>44791</v>
      </c>
      <c r="B340" s="3">
        <v>44821</v>
      </c>
      <c r="C340" s="4">
        <f t="shared" si="10"/>
        <v>89</v>
      </c>
      <c r="D340" s="5" t="s">
        <v>623</v>
      </c>
      <c r="E340" s="5">
        <v>20393226332</v>
      </c>
      <c r="F340" s="5" t="s">
        <v>246</v>
      </c>
      <c r="G340" s="5" t="s">
        <v>46</v>
      </c>
      <c r="H340" s="5" t="s">
        <v>7</v>
      </c>
      <c r="I340" s="31">
        <v>10709.44</v>
      </c>
      <c r="J340" s="31">
        <v>0</v>
      </c>
      <c r="K340" s="6" t="str">
        <f t="shared" si="11"/>
        <v>60 &lt;= 90 DIAS</v>
      </c>
      <c r="L340" s="7" t="str">
        <f>_xlfn.CONCAT(TEXT(MONTH(DATA[[#This Row],[FECHA DE VENCIMIENTO]]),"00"),"-",TEXT(DATA[[#This Row],[FECHA DE VENCIMIENTO]],"MMM"))</f>
        <v>09-Set</v>
      </c>
    </row>
    <row r="341" spans="1:12" hidden="1" x14ac:dyDescent="0.3">
      <c r="A341" s="3">
        <v>44791</v>
      </c>
      <c r="B341" s="3">
        <v>44821</v>
      </c>
      <c r="C341" s="4">
        <f t="shared" si="10"/>
        <v>89</v>
      </c>
      <c r="D341" s="5" t="s">
        <v>921</v>
      </c>
      <c r="E341" s="5">
        <v>20538241378</v>
      </c>
      <c r="F341" s="5" t="s">
        <v>236</v>
      </c>
      <c r="G341" s="5" t="s">
        <v>13</v>
      </c>
      <c r="H341" s="5" t="s">
        <v>7</v>
      </c>
      <c r="I341" s="31">
        <v>5680.15</v>
      </c>
      <c r="J341" s="31">
        <v>0</v>
      </c>
      <c r="K341" s="6" t="str">
        <f t="shared" si="11"/>
        <v>60 &lt;= 90 DIAS</v>
      </c>
      <c r="L341" s="7" t="str">
        <f>_xlfn.CONCAT(TEXT(MONTH(DATA[[#This Row],[FECHA DE VENCIMIENTO]]),"00"),"-",TEXT(DATA[[#This Row],[FECHA DE VENCIMIENTO]],"MMM"))</f>
        <v>09-Set</v>
      </c>
    </row>
    <row r="342" spans="1:12" hidden="1" x14ac:dyDescent="0.3">
      <c r="A342" s="3">
        <v>44764</v>
      </c>
      <c r="B342" s="3">
        <v>44824</v>
      </c>
      <c r="C342" s="4">
        <f t="shared" si="10"/>
        <v>86</v>
      </c>
      <c r="D342" s="5" t="s">
        <v>508</v>
      </c>
      <c r="E342" s="5">
        <v>20320731314</v>
      </c>
      <c r="F342" s="5" t="s">
        <v>331</v>
      </c>
      <c r="G342" s="5" t="s">
        <v>16</v>
      </c>
      <c r="H342" s="5" t="s">
        <v>29</v>
      </c>
      <c r="I342" s="31">
        <v>0</v>
      </c>
      <c r="J342" s="31">
        <v>8477.1200000000008</v>
      </c>
      <c r="K342" s="6" t="str">
        <f t="shared" si="11"/>
        <v>60 &lt;= 90 DIAS</v>
      </c>
      <c r="L342" s="7" t="str">
        <f>_xlfn.CONCAT(TEXT(MONTH(DATA[[#This Row],[FECHA DE VENCIMIENTO]]),"00"),"-",TEXT(DATA[[#This Row],[FECHA DE VENCIMIENTO]],"MMM"))</f>
        <v>09-Set</v>
      </c>
    </row>
    <row r="343" spans="1:12" hidden="1" x14ac:dyDescent="0.3">
      <c r="A343" s="3">
        <v>44795</v>
      </c>
      <c r="B343" s="3">
        <v>44825</v>
      </c>
      <c r="C343" s="4">
        <f t="shared" si="10"/>
        <v>85</v>
      </c>
      <c r="D343" s="5" t="s">
        <v>928</v>
      </c>
      <c r="E343" s="5">
        <v>20608316788</v>
      </c>
      <c r="F343" s="5" t="s">
        <v>929</v>
      </c>
      <c r="G343" s="5" t="s">
        <v>33</v>
      </c>
      <c r="H343" s="5" t="s">
        <v>7</v>
      </c>
      <c r="I343" s="31">
        <v>4739.3599999999997</v>
      </c>
      <c r="J343" s="31">
        <v>0</v>
      </c>
      <c r="K343" s="6" t="str">
        <f t="shared" si="11"/>
        <v>60 &lt;= 90 DIAS</v>
      </c>
      <c r="L343" s="7" t="str">
        <f>_xlfn.CONCAT(TEXT(MONTH(DATA[[#This Row],[FECHA DE VENCIMIENTO]]),"00"),"-",TEXT(DATA[[#This Row],[FECHA DE VENCIMIENTO]],"MMM"))</f>
        <v>09-Set</v>
      </c>
    </row>
    <row r="344" spans="1:12" hidden="1" x14ac:dyDescent="0.3">
      <c r="A344" s="3">
        <v>44818</v>
      </c>
      <c r="B344" s="3">
        <v>44825</v>
      </c>
      <c r="C344" s="4">
        <f t="shared" si="10"/>
        <v>85</v>
      </c>
      <c r="D344" s="5" t="s">
        <v>993</v>
      </c>
      <c r="E344" s="5">
        <v>20606113758</v>
      </c>
      <c r="F344" s="5" t="s">
        <v>174</v>
      </c>
      <c r="G344" s="5" t="s">
        <v>13</v>
      </c>
      <c r="H344" s="5" t="s">
        <v>29</v>
      </c>
      <c r="I344" s="31">
        <v>0</v>
      </c>
      <c r="J344" s="31">
        <v>832.61</v>
      </c>
      <c r="K344" s="6" t="str">
        <f t="shared" si="11"/>
        <v>60 &lt;= 90 DIAS</v>
      </c>
      <c r="L344" s="7" t="str">
        <f>_xlfn.CONCAT(TEXT(MONTH(DATA[[#This Row],[FECHA DE VENCIMIENTO]]),"00"),"-",TEXT(DATA[[#This Row],[FECHA DE VENCIMIENTO]],"MMM"))</f>
        <v>09-Set</v>
      </c>
    </row>
    <row r="345" spans="1:12" hidden="1" x14ac:dyDescent="0.3">
      <c r="A345" s="3">
        <v>44825</v>
      </c>
      <c r="B345" s="3">
        <v>44825</v>
      </c>
      <c r="C345" s="4">
        <f t="shared" si="10"/>
        <v>85</v>
      </c>
      <c r="D345" s="5" t="s">
        <v>1267</v>
      </c>
      <c r="E345" s="5">
        <v>44335078</v>
      </c>
      <c r="F345" s="5" t="s">
        <v>1266</v>
      </c>
      <c r="G345" s="5" t="s">
        <v>33</v>
      </c>
      <c r="H345" s="5" t="s">
        <v>29</v>
      </c>
      <c r="I345" s="31">
        <v>0</v>
      </c>
      <c r="J345" s="31">
        <v>442.5</v>
      </c>
      <c r="K345" s="6" t="str">
        <f t="shared" si="11"/>
        <v>60 &lt;= 90 DIAS</v>
      </c>
      <c r="L345" s="7" t="str">
        <f>_xlfn.CONCAT(TEXT(MONTH(DATA[[#This Row],[FECHA DE VENCIMIENTO]]),"00"),"-",TEXT(DATA[[#This Row],[FECHA DE VENCIMIENTO]],"MMM"))</f>
        <v>09-Set</v>
      </c>
    </row>
    <row r="346" spans="1:12" hidden="1" x14ac:dyDescent="0.3">
      <c r="A346" s="3">
        <v>44767</v>
      </c>
      <c r="B346" s="3">
        <v>44827</v>
      </c>
      <c r="C346" s="4">
        <f t="shared" si="10"/>
        <v>83</v>
      </c>
      <c r="D346" s="5" t="s">
        <v>829</v>
      </c>
      <c r="E346" s="5">
        <v>20601830818</v>
      </c>
      <c r="F346" s="5" t="s">
        <v>301</v>
      </c>
      <c r="G346" s="5" t="s">
        <v>13</v>
      </c>
      <c r="H346" s="5" t="s">
        <v>7</v>
      </c>
      <c r="I346" s="31">
        <v>3091.6</v>
      </c>
      <c r="J346" s="31">
        <v>0</v>
      </c>
      <c r="K346" s="6" t="str">
        <f t="shared" si="11"/>
        <v>60 &lt;= 90 DIAS</v>
      </c>
      <c r="L346" s="7" t="str">
        <f>_xlfn.CONCAT(TEXT(MONTH(DATA[[#This Row],[FECHA DE VENCIMIENTO]]),"00"),"-",TEXT(DATA[[#This Row],[FECHA DE VENCIMIENTO]],"MMM"))</f>
        <v>09-Set</v>
      </c>
    </row>
    <row r="347" spans="1:12" hidden="1" x14ac:dyDescent="0.3">
      <c r="A347" s="3">
        <v>44767</v>
      </c>
      <c r="B347" s="3">
        <v>44827</v>
      </c>
      <c r="C347" s="4">
        <f t="shared" si="10"/>
        <v>83</v>
      </c>
      <c r="D347" s="5" t="s">
        <v>834</v>
      </c>
      <c r="E347" s="5">
        <v>20601830818</v>
      </c>
      <c r="F347" s="5" t="s">
        <v>301</v>
      </c>
      <c r="G347" s="5" t="s">
        <v>13</v>
      </c>
      <c r="H347" s="5" t="s">
        <v>7</v>
      </c>
      <c r="I347" s="31">
        <v>11815.69</v>
      </c>
      <c r="J347" s="31">
        <v>0</v>
      </c>
      <c r="K347" s="6" t="str">
        <f t="shared" si="11"/>
        <v>60 &lt;= 90 DIAS</v>
      </c>
      <c r="L347" s="7" t="str">
        <f>_xlfn.CONCAT(TEXT(MONTH(DATA[[#This Row],[FECHA DE VENCIMIENTO]]),"00"),"-",TEXT(DATA[[#This Row],[FECHA DE VENCIMIENTO]],"MMM"))</f>
        <v>09-Set</v>
      </c>
    </row>
    <row r="348" spans="1:12" hidden="1" x14ac:dyDescent="0.3">
      <c r="A348" s="3">
        <v>44827</v>
      </c>
      <c r="B348" s="3">
        <v>44827</v>
      </c>
      <c r="C348" s="4">
        <f t="shared" si="10"/>
        <v>83</v>
      </c>
      <c r="D348" s="5" t="s">
        <v>1017</v>
      </c>
      <c r="E348" s="5">
        <v>10467717478</v>
      </c>
      <c r="F348" s="5" t="s">
        <v>1018</v>
      </c>
      <c r="G348" s="5" t="s">
        <v>33</v>
      </c>
      <c r="H348" s="5" t="s">
        <v>7</v>
      </c>
      <c r="I348" s="31">
        <v>4859.03</v>
      </c>
      <c r="J348" s="31">
        <v>0</v>
      </c>
      <c r="K348" s="6" t="str">
        <f t="shared" si="11"/>
        <v>60 &lt;= 90 DIAS</v>
      </c>
      <c r="L348" s="7" t="str">
        <f>_xlfn.CONCAT(TEXT(MONTH(DATA[[#This Row],[FECHA DE VENCIMIENTO]]),"00"),"-",TEXT(DATA[[#This Row],[FECHA DE VENCIMIENTO]],"MMM"))</f>
        <v>09-Set</v>
      </c>
    </row>
    <row r="349" spans="1:12" hidden="1" x14ac:dyDescent="0.3">
      <c r="A349" s="3">
        <v>44768</v>
      </c>
      <c r="B349" s="3">
        <v>44828</v>
      </c>
      <c r="C349" s="4">
        <f t="shared" si="10"/>
        <v>82</v>
      </c>
      <c r="D349" s="5" t="s">
        <v>515</v>
      </c>
      <c r="E349" s="5">
        <v>20320731314</v>
      </c>
      <c r="F349" s="5" t="s">
        <v>331</v>
      </c>
      <c r="G349" s="5" t="s">
        <v>16</v>
      </c>
      <c r="H349" s="5" t="s">
        <v>29</v>
      </c>
      <c r="I349" s="31">
        <v>0</v>
      </c>
      <c r="J349" s="31">
        <v>8477.1200000000008</v>
      </c>
      <c r="K349" s="6" t="str">
        <f t="shared" si="11"/>
        <v>60 &lt;= 90 DIAS</v>
      </c>
      <c r="L349" s="7" t="str">
        <f>_xlfn.CONCAT(TEXT(MONTH(DATA[[#This Row],[FECHA DE VENCIMIENTO]]),"00"),"-",TEXT(DATA[[#This Row],[FECHA DE VENCIMIENTO]],"MMM"))</f>
        <v>09-Set</v>
      </c>
    </row>
    <row r="350" spans="1:12" hidden="1" x14ac:dyDescent="0.3">
      <c r="A350" s="3">
        <v>44768</v>
      </c>
      <c r="B350" s="3">
        <v>44828</v>
      </c>
      <c r="C350" s="4">
        <f t="shared" si="10"/>
        <v>82</v>
      </c>
      <c r="D350" s="5" t="s">
        <v>833</v>
      </c>
      <c r="E350" s="5">
        <v>20601830818</v>
      </c>
      <c r="F350" s="5" t="s">
        <v>301</v>
      </c>
      <c r="G350" s="5" t="s">
        <v>13</v>
      </c>
      <c r="H350" s="5" t="s">
        <v>7</v>
      </c>
      <c r="I350" s="31">
        <v>3243.23</v>
      </c>
      <c r="J350" s="31">
        <v>0</v>
      </c>
      <c r="K350" s="6" t="str">
        <f t="shared" si="11"/>
        <v>60 &lt;= 90 DIAS</v>
      </c>
      <c r="L350" s="7" t="str">
        <f>_xlfn.CONCAT(TEXT(MONTH(DATA[[#This Row],[FECHA DE VENCIMIENTO]]),"00"),"-",TEXT(DATA[[#This Row],[FECHA DE VENCIMIENTO]],"MMM"))</f>
        <v>09-Set</v>
      </c>
    </row>
    <row r="351" spans="1:12" hidden="1" x14ac:dyDescent="0.3">
      <c r="A351" s="3">
        <v>44785</v>
      </c>
      <c r="B351" s="3">
        <v>44830</v>
      </c>
      <c r="C351" s="4">
        <f t="shared" si="10"/>
        <v>80</v>
      </c>
      <c r="D351" s="5" t="s">
        <v>1139</v>
      </c>
      <c r="E351" s="5">
        <v>20603042612</v>
      </c>
      <c r="F351" s="5" t="s">
        <v>1137</v>
      </c>
      <c r="G351" s="5" t="s">
        <v>33</v>
      </c>
      <c r="H351" s="5" t="s">
        <v>7</v>
      </c>
      <c r="I351" s="31">
        <v>684.4</v>
      </c>
      <c r="J351" s="31">
        <v>0</v>
      </c>
      <c r="K351" s="6" t="str">
        <f t="shared" si="11"/>
        <v>60 &lt;= 90 DIAS</v>
      </c>
      <c r="L351" s="7" t="str">
        <f>_xlfn.CONCAT(TEXT(MONTH(DATA[[#This Row],[FECHA DE VENCIMIENTO]]),"00"),"-",TEXT(DATA[[#This Row],[FECHA DE VENCIMIENTO]],"MMM"))</f>
        <v>09-Set</v>
      </c>
    </row>
    <row r="352" spans="1:12" hidden="1" x14ac:dyDescent="0.3">
      <c r="A352" s="3">
        <v>44772</v>
      </c>
      <c r="B352" s="3">
        <v>44832</v>
      </c>
      <c r="C352" s="4">
        <f t="shared" si="10"/>
        <v>78</v>
      </c>
      <c r="D352" s="5" t="s">
        <v>518</v>
      </c>
      <c r="E352" s="5">
        <v>20320731314</v>
      </c>
      <c r="F352" s="5" t="s">
        <v>331</v>
      </c>
      <c r="G352" s="5" t="s">
        <v>16</v>
      </c>
      <c r="H352" s="5" t="s">
        <v>29</v>
      </c>
      <c r="I352" s="31">
        <v>0</v>
      </c>
      <c r="J352" s="31">
        <v>8477.1200000000008</v>
      </c>
      <c r="K352" s="6" t="str">
        <f t="shared" si="11"/>
        <v>60 &lt;= 90 DIAS</v>
      </c>
      <c r="L352" s="7" t="str">
        <f>_xlfn.CONCAT(TEXT(MONTH(DATA[[#This Row],[FECHA DE VENCIMIENTO]]),"00"),"-",TEXT(DATA[[#This Row],[FECHA DE VENCIMIENTO]],"MMM"))</f>
        <v>09-Set</v>
      </c>
    </row>
    <row r="353" spans="1:12" hidden="1" x14ac:dyDescent="0.3">
      <c r="A353" s="3">
        <v>44774</v>
      </c>
      <c r="B353" s="3">
        <v>44834</v>
      </c>
      <c r="C353" s="4">
        <f t="shared" si="10"/>
        <v>76</v>
      </c>
      <c r="D353" s="5" t="s">
        <v>908</v>
      </c>
      <c r="E353" s="5">
        <v>20155261570</v>
      </c>
      <c r="F353" s="5" t="s">
        <v>355</v>
      </c>
      <c r="G353" s="5" t="s">
        <v>13</v>
      </c>
      <c r="H353" s="5" t="s">
        <v>7</v>
      </c>
      <c r="I353" s="31">
        <v>2463.84</v>
      </c>
      <c r="J353" s="31">
        <v>0</v>
      </c>
      <c r="K353" s="6" t="str">
        <f t="shared" si="11"/>
        <v>60 &lt;= 90 DIAS</v>
      </c>
      <c r="L353" s="7" t="str">
        <f>_xlfn.CONCAT(TEXT(MONTH(DATA[[#This Row],[FECHA DE VENCIMIENTO]]),"00"),"-",TEXT(DATA[[#This Row],[FECHA DE VENCIMIENTO]],"MMM"))</f>
        <v>09-Set</v>
      </c>
    </row>
    <row r="354" spans="1:12" hidden="1" x14ac:dyDescent="0.3">
      <c r="A354" s="3">
        <v>44775</v>
      </c>
      <c r="B354" s="3">
        <v>44835</v>
      </c>
      <c r="C354" s="4">
        <f t="shared" si="10"/>
        <v>75</v>
      </c>
      <c r="D354" s="5" t="s">
        <v>912</v>
      </c>
      <c r="E354" s="5">
        <v>20155261570</v>
      </c>
      <c r="F354" s="5" t="s">
        <v>355</v>
      </c>
      <c r="G354" s="5" t="s">
        <v>13</v>
      </c>
      <c r="H354" s="5" t="s">
        <v>7</v>
      </c>
      <c r="I354" s="31">
        <v>2542.31</v>
      </c>
      <c r="J354" s="31">
        <v>0</v>
      </c>
      <c r="K354" s="6" t="str">
        <f t="shared" si="11"/>
        <v>60 &lt;= 90 DIAS</v>
      </c>
      <c r="L354" s="7" t="str">
        <f>_xlfn.CONCAT(TEXT(MONTH(DATA[[#This Row],[FECHA DE VENCIMIENTO]]),"00"),"-",TEXT(DATA[[#This Row],[FECHA DE VENCIMIENTO]],"MMM"))</f>
        <v>10-Oct</v>
      </c>
    </row>
    <row r="355" spans="1:12" hidden="1" x14ac:dyDescent="0.3">
      <c r="A355" s="3">
        <v>44805</v>
      </c>
      <c r="B355" s="3">
        <v>44835</v>
      </c>
      <c r="C355" s="4">
        <f t="shared" si="10"/>
        <v>75</v>
      </c>
      <c r="D355" s="5" t="s">
        <v>946</v>
      </c>
      <c r="E355" s="5">
        <v>20455732574</v>
      </c>
      <c r="F355" s="5" t="s">
        <v>351</v>
      </c>
      <c r="G355" s="5" t="s">
        <v>33</v>
      </c>
      <c r="H355" s="5" t="s">
        <v>7</v>
      </c>
      <c r="I355" s="31">
        <v>2122.08</v>
      </c>
      <c r="J355" s="31">
        <v>0</v>
      </c>
      <c r="K355" s="6" t="str">
        <f t="shared" si="11"/>
        <v>60 &lt;= 90 DIAS</v>
      </c>
      <c r="L355" s="7" t="str">
        <f>_xlfn.CONCAT(TEXT(MONTH(DATA[[#This Row],[FECHA DE VENCIMIENTO]]),"00"),"-",TEXT(DATA[[#This Row],[FECHA DE VENCIMIENTO]],"MMM"))</f>
        <v>10-Oct</v>
      </c>
    </row>
    <row r="356" spans="1:12" hidden="1" x14ac:dyDescent="0.3">
      <c r="A356" s="3">
        <v>44806</v>
      </c>
      <c r="B356" s="3">
        <v>44836</v>
      </c>
      <c r="C356" s="4">
        <f t="shared" si="10"/>
        <v>74</v>
      </c>
      <c r="D356" s="5" t="s">
        <v>588</v>
      </c>
      <c r="E356" s="5">
        <v>20494979978</v>
      </c>
      <c r="F356" s="5" t="s">
        <v>589</v>
      </c>
      <c r="G356" s="5" t="s">
        <v>13</v>
      </c>
      <c r="H356" s="5" t="s">
        <v>7</v>
      </c>
      <c r="I356" s="31">
        <v>1151.49</v>
      </c>
      <c r="J356" s="31">
        <v>0</v>
      </c>
      <c r="K356" s="6" t="str">
        <f t="shared" si="11"/>
        <v>60 &lt;= 90 DIAS</v>
      </c>
      <c r="L356" s="7" t="str">
        <f>_xlfn.CONCAT(TEXT(MONTH(DATA[[#This Row],[FECHA DE VENCIMIENTO]]),"00"),"-",TEXT(DATA[[#This Row],[FECHA DE VENCIMIENTO]],"MMM"))</f>
        <v>10-Oct</v>
      </c>
    </row>
    <row r="357" spans="1:12" hidden="1" x14ac:dyDescent="0.3">
      <c r="A357" s="3">
        <v>44792</v>
      </c>
      <c r="B357" s="3">
        <v>44837</v>
      </c>
      <c r="C357" s="4">
        <f t="shared" si="10"/>
        <v>73</v>
      </c>
      <c r="D357" s="5" t="s">
        <v>916</v>
      </c>
      <c r="E357" s="5">
        <v>20538241378</v>
      </c>
      <c r="F357" s="5" t="s">
        <v>236</v>
      </c>
      <c r="G357" s="5" t="s">
        <v>13</v>
      </c>
      <c r="H357" s="5" t="s">
        <v>7</v>
      </c>
      <c r="I357" s="31">
        <v>703.42</v>
      </c>
      <c r="J357" s="31">
        <v>0</v>
      </c>
      <c r="K357" s="6" t="str">
        <f t="shared" si="11"/>
        <v>60 &lt;= 90 DIAS</v>
      </c>
      <c r="L357" s="7" t="str">
        <f>_xlfn.CONCAT(TEXT(MONTH(DATA[[#This Row],[FECHA DE VENCIMIENTO]]),"00"),"-",TEXT(DATA[[#This Row],[FECHA DE VENCIMIENTO]],"MMM"))</f>
        <v>10-Oct</v>
      </c>
    </row>
    <row r="358" spans="1:12" hidden="1" x14ac:dyDescent="0.3">
      <c r="A358" s="3">
        <v>44792</v>
      </c>
      <c r="B358" s="3">
        <v>44837</v>
      </c>
      <c r="C358" s="4">
        <f t="shared" si="10"/>
        <v>73</v>
      </c>
      <c r="D358" s="5" t="s">
        <v>920</v>
      </c>
      <c r="E358" s="5">
        <v>20538241378</v>
      </c>
      <c r="F358" s="5" t="s">
        <v>236</v>
      </c>
      <c r="G358" s="5" t="s">
        <v>13</v>
      </c>
      <c r="H358" s="5" t="s">
        <v>7</v>
      </c>
      <c r="I358" s="31">
        <v>4826.72</v>
      </c>
      <c r="J358" s="31">
        <v>0</v>
      </c>
      <c r="K358" s="6" t="str">
        <f t="shared" si="11"/>
        <v>60 &lt;= 90 DIAS</v>
      </c>
      <c r="L358" s="7" t="str">
        <f>_xlfn.CONCAT(TEXT(MONTH(DATA[[#This Row],[FECHA DE VENCIMIENTO]]),"00"),"-",TEXT(DATA[[#This Row],[FECHA DE VENCIMIENTO]],"MMM"))</f>
        <v>10-Oct</v>
      </c>
    </row>
    <row r="359" spans="1:12" hidden="1" x14ac:dyDescent="0.3">
      <c r="A359" s="3">
        <v>44778</v>
      </c>
      <c r="B359" s="3">
        <v>44838</v>
      </c>
      <c r="C359" s="4">
        <f t="shared" si="10"/>
        <v>72</v>
      </c>
      <c r="D359" s="5" t="s">
        <v>520</v>
      </c>
      <c r="E359" s="5">
        <v>20320731314</v>
      </c>
      <c r="F359" s="5" t="s">
        <v>331</v>
      </c>
      <c r="G359" s="5" t="s">
        <v>16</v>
      </c>
      <c r="H359" s="5" t="s">
        <v>29</v>
      </c>
      <c r="I359" s="31">
        <v>0</v>
      </c>
      <c r="J359" s="31">
        <v>8477.1200000000008</v>
      </c>
      <c r="K359" s="6" t="str">
        <f t="shared" si="11"/>
        <v>60 &lt;= 90 DIAS</v>
      </c>
      <c r="L359" s="7" t="str">
        <f>_xlfn.CONCAT(TEXT(MONTH(DATA[[#This Row],[FECHA DE VENCIMIENTO]]),"00"),"-",TEXT(DATA[[#This Row],[FECHA DE VENCIMIENTO]],"MMM"))</f>
        <v>10-Oct</v>
      </c>
    </row>
    <row r="360" spans="1:12" hidden="1" x14ac:dyDescent="0.3">
      <c r="A360" s="3">
        <v>44816</v>
      </c>
      <c r="B360" s="3">
        <v>44840</v>
      </c>
      <c r="C360" s="4">
        <f t="shared" si="10"/>
        <v>70</v>
      </c>
      <c r="D360" s="5" t="s">
        <v>677</v>
      </c>
      <c r="E360" s="5">
        <v>20602148948</v>
      </c>
      <c r="F360" s="5" t="s">
        <v>676</v>
      </c>
      <c r="G360" s="5" t="s">
        <v>13</v>
      </c>
      <c r="H360" s="5" t="s">
        <v>29</v>
      </c>
      <c r="I360" s="31">
        <v>0</v>
      </c>
      <c r="J360" s="31">
        <v>1180</v>
      </c>
      <c r="K360" s="6" t="str">
        <f t="shared" si="11"/>
        <v>60 &lt;= 90 DIAS</v>
      </c>
      <c r="L360" s="7" t="str">
        <f>_xlfn.CONCAT(TEXT(MONTH(DATA[[#This Row],[FECHA DE VENCIMIENTO]]),"00"),"-",TEXT(DATA[[#This Row],[FECHA DE VENCIMIENTO]],"MMM"))</f>
        <v>10-Oct</v>
      </c>
    </row>
    <row r="361" spans="1:12" hidden="1" x14ac:dyDescent="0.3">
      <c r="A361" s="3">
        <v>44813</v>
      </c>
      <c r="B361" s="3">
        <v>44840</v>
      </c>
      <c r="C361" s="4">
        <f t="shared" si="10"/>
        <v>70</v>
      </c>
      <c r="D361" s="5" t="s">
        <v>967</v>
      </c>
      <c r="E361" s="5">
        <v>20509902730</v>
      </c>
      <c r="F361" s="5" t="s">
        <v>381</v>
      </c>
      <c r="G361" s="5" t="s">
        <v>16</v>
      </c>
      <c r="H361" s="5" t="s">
        <v>29</v>
      </c>
      <c r="I361" s="31">
        <v>0</v>
      </c>
      <c r="J361" s="31">
        <v>323.02999999999997</v>
      </c>
      <c r="K361" s="6" t="str">
        <f t="shared" si="11"/>
        <v>60 &lt;= 90 DIAS</v>
      </c>
      <c r="L361" s="7" t="str">
        <f>_xlfn.CONCAT(TEXT(MONTH(DATA[[#This Row],[FECHA DE VENCIMIENTO]]),"00"),"-",TEXT(DATA[[#This Row],[FECHA DE VENCIMIENTO]],"MMM"))</f>
        <v>10-Oct</v>
      </c>
    </row>
    <row r="362" spans="1:12" ht="31.2" hidden="1" x14ac:dyDescent="0.3">
      <c r="A362" s="3">
        <v>44816</v>
      </c>
      <c r="B362" s="3">
        <v>44841</v>
      </c>
      <c r="C362" s="4">
        <f t="shared" si="10"/>
        <v>69</v>
      </c>
      <c r="D362" s="5" t="s">
        <v>601</v>
      </c>
      <c r="E362" s="5">
        <v>20494006678</v>
      </c>
      <c r="F362" s="5" t="s">
        <v>337</v>
      </c>
      <c r="G362" s="5" t="s">
        <v>46</v>
      </c>
      <c r="H362" s="5" t="s">
        <v>7</v>
      </c>
      <c r="I362" s="31">
        <v>2122.08</v>
      </c>
      <c r="J362" s="31">
        <v>0</v>
      </c>
      <c r="K362" s="6" t="str">
        <f t="shared" si="11"/>
        <v>60 &lt;= 90 DIAS</v>
      </c>
      <c r="L362" s="7" t="str">
        <f>_xlfn.CONCAT(TEXT(MONTH(DATA[[#This Row],[FECHA DE VENCIMIENTO]]),"00"),"-",TEXT(DATA[[#This Row],[FECHA DE VENCIMIENTO]],"MMM"))</f>
        <v>10-Oct</v>
      </c>
    </row>
    <row r="363" spans="1:12" hidden="1" x14ac:dyDescent="0.3">
      <c r="A363" s="3">
        <v>44782</v>
      </c>
      <c r="B363" s="3">
        <v>44842</v>
      </c>
      <c r="C363" s="4">
        <f t="shared" si="10"/>
        <v>68</v>
      </c>
      <c r="D363" s="5" t="s">
        <v>684</v>
      </c>
      <c r="E363" s="5">
        <v>20555507861</v>
      </c>
      <c r="F363" s="5" t="s">
        <v>232</v>
      </c>
      <c r="G363" s="5" t="s">
        <v>26</v>
      </c>
      <c r="H363" s="5" t="s">
        <v>29</v>
      </c>
      <c r="I363" s="31">
        <v>0</v>
      </c>
      <c r="J363" s="31">
        <v>52554.61</v>
      </c>
      <c r="K363" s="6" t="str">
        <f t="shared" si="11"/>
        <v>60 &lt;= 90 DIAS</v>
      </c>
      <c r="L363" s="7" t="str">
        <f>_xlfn.CONCAT(TEXT(MONTH(DATA[[#This Row],[FECHA DE VENCIMIENTO]]),"00"),"-",TEXT(DATA[[#This Row],[FECHA DE VENCIMIENTO]],"MMM"))</f>
        <v>10-Oct</v>
      </c>
    </row>
    <row r="364" spans="1:12" hidden="1" x14ac:dyDescent="0.3">
      <c r="A364" s="3">
        <v>44812</v>
      </c>
      <c r="B364" s="3">
        <v>44842</v>
      </c>
      <c r="C364" s="4">
        <f t="shared" si="10"/>
        <v>68</v>
      </c>
      <c r="D364" s="5" t="s">
        <v>926</v>
      </c>
      <c r="E364" s="5">
        <v>20606753820</v>
      </c>
      <c r="F364" s="5" t="s">
        <v>925</v>
      </c>
      <c r="G364" s="5" t="s">
        <v>33</v>
      </c>
      <c r="H364" s="5" t="s">
        <v>7</v>
      </c>
      <c r="I364" s="31">
        <v>2716.64</v>
      </c>
      <c r="J364" s="31">
        <v>0</v>
      </c>
      <c r="K364" s="6" t="str">
        <f t="shared" si="11"/>
        <v>60 &lt;= 90 DIAS</v>
      </c>
      <c r="L364" s="7" t="str">
        <f>_xlfn.CONCAT(TEXT(MONTH(DATA[[#This Row],[FECHA DE VENCIMIENTO]]),"00"),"-",TEXT(DATA[[#This Row],[FECHA DE VENCIMIENTO]],"MMM"))</f>
        <v>10-Oct</v>
      </c>
    </row>
    <row r="365" spans="1:12" hidden="1" x14ac:dyDescent="0.3">
      <c r="A365" s="3">
        <v>44783</v>
      </c>
      <c r="B365" s="3">
        <v>44843</v>
      </c>
      <c r="C365" s="4">
        <f t="shared" si="10"/>
        <v>67</v>
      </c>
      <c r="D365" s="5" t="s">
        <v>517</v>
      </c>
      <c r="E365" s="5">
        <v>20320731314</v>
      </c>
      <c r="F365" s="5" t="s">
        <v>331</v>
      </c>
      <c r="G365" s="5" t="s">
        <v>16</v>
      </c>
      <c r="H365" s="5" t="s">
        <v>29</v>
      </c>
      <c r="I365" s="31">
        <v>0</v>
      </c>
      <c r="J365" s="31">
        <v>1937.09</v>
      </c>
      <c r="K365" s="6" t="str">
        <f t="shared" si="11"/>
        <v>60 &lt;= 90 DIAS</v>
      </c>
      <c r="L365" s="7" t="str">
        <f>_xlfn.CONCAT(TEXT(MONTH(DATA[[#This Row],[FECHA DE VENCIMIENTO]]),"00"),"-",TEXT(DATA[[#This Row],[FECHA DE VENCIMIENTO]],"MMM"))</f>
        <v>10-Oct</v>
      </c>
    </row>
    <row r="366" spans="1:12" hidden="1" x14ac:dyDescent="0.3">
      <c r="A366" s="3">
        <v>44783</v>
      </c>
      <c r="B366" s="3">
        <v>44843</v>
      </c>
      <c r="C366" s="4">
        <f t="shared" si="10"/>
        <v>67</v>
      </c>
      <c r="D366" s="5" t="s">
        <v>529</v>
      </c>
      <c r="E366" s="5">
        <v>20320731314</v>
      </c>
      <c r="F366" s="5" t="s">
        <v>331</v>
      </c>
      <c r="G366" s="5" t="s">
        <v>16</v>
      </c>
      <c r="H366" s="5" t="s">
        <v>29</v>
      </c>
      <c r="I366" s="31">
        <v>0</v>
      </c>
      <c r="J366" s="31">
        <v>3602.78</v>
      </c>
      <c r="K366" s="6" t="str">
        <f t="shared" si="11"/>
        <v>60 &lt;= 90 DIAS</v>
      </c>
      <c r="L366" s="7" t="str">
        <f>_xlfn.CONCAT(TEXT(MONTH(DATA[[#This Row],[FECHA DE VENCIMIENTO]]),"00"),"-",TEXT(DATA[[#This Row],[FECHA DE VENCIMIENTO]],"MMM"))</f>
        <v>10-Oct</v>
      </c>
    </row>
    <row r="367" spans="1:12" hidden="1" x14ac:dyDescent="0.3">
      <c r="A367" s="3">
        <v>44785</v>
      </c>
      <c r="B367" s="3">
        <v>44845</v>
      </c>
      <c r="C367" s="4">
        <f t="shared" si="10"/>
        <v>65</v>
      </c>
      <c r="D367" s="5" t="s">
        <v>527</v>
      </c>
      <c r="E367" s="5">
        <v>20320731314</v>
      </c>
      <c r="F367" s="5" t="s">
        <v>331</v>
      </c>
      <c r="G367" s="5" t="s">
        <v>16</v>
      </c>
      <c r="H367" s="5"/>
      <c r="I367" s="31">
        <v>3072.72</v>
      </c>
      <c r="J367" s="31">
        <v>0</v>
      </c>
      <c r="K367" s="6" t="str">
        <f t="shared" si="11"/>
        <v>60 &lt;= 90 DIAS</v>
      </c>
      <c r="L367" s="7" t="str">
        <f>_xlfn.CONCAT(TEXT(MONTH(DATA[[#This Row],[FECHA DE VENCIMIENTO]]),"00"),"-",TEXT(DATA[[#This Row],[FECHA DE VENCIMIENTO]],"MMM"))</f>
        <v>10-Oct</v>
      </c>
    </row>
    <row r="368" spans="1:12" hidden="1" x14ac:dyDescent="0.3">
      <c r="A368" s="3">
        <v>44785</v>
      </c>
      <c r="B368" s="3">
        <v>44845</v>
      </c>
      <c r="C368" s="4">
        <f t="shared" si="10"/>
        <v>65</v>
      </c>
      <c r="D368" s="5" t="s">
        <v>832</v>
      </c>
      <c r="E368" s="5">
        <v>20601830818</v>
      </c>
      <c r="F368" s="5" t="s">
        <v>301</v>
      </c>
      <c r="G368" s="5" t="s">
        <v>13</v>
      </c>
      <c r="H368" s="5" t="s">
        <v>7</v>
      </c>
      <c r="I368" s="31">
        <v>5605</v>
      </c>
      <c r="J368" s="31">
        <v>0</v>
      </c>
      <c r="K368" s="6" t="str">
        <f t="shared" si="11"/>
        <v>60 &lt;= 90 DIAS</v>
      </c>
      <c r="L368" s="7" t="str">
        <f>_xlfn.CONCAT(TEXT(MONTH(DATA[[#This Row],[FECHA DE VENCIMIENTO]]),"00"),"-",TEXT(DATA[[#This Row],[FECHA DE VENCIMIENTO]],"MMM"))</f>
        <v>10-Oct</v>
      </c>
    </row>
    <row r="369" spans="1:12" hidden="1" x14ac:dyDescent="0.3">
      <c r="A369" s="3">
        <v>44845</v>
      </c>
      <c r="B369" s="3">
        <v>44845</v>
      </c>
      <c r="C369" s="4">
        <f t="shared" si="10"/>
        <v>65</v>
      </c>
      <c r="D369" s="5" t="s">
        <v>986</v>
      </c>
      <c r="E369" s="5">
        <v>20606113758</v>
      </c>
      <c r="F369" s="5" t="s">
        <v>174</v>
      </c>
      <c r="G369" s="5" t="s">
        <v>13</v>
      </c>
      <c r="H369" s="5" t="s">
        <v>29</v>
      </c>
      <c r="I369" s="31">
        <v>0</v>
      </c>
      <c r="J369" s="31">
        <v>892.08</v>
      </c>
      <c r="K369" s="6" t="str">
        <f t="shared" si="11"/>
        <v>60 &lt;= 90 DIAS</v>
      </c>
      <c r="L369" s="7" t="str">
        <f>_xlfn.CONCAT(TEXT(MONTH(DATA[[#This Row],[FECHA DE VENCIMIENTO]]),"00"),"-",TEXT(DATA[[#This Row],[FECHA DE VENCIMIENTO]],"MMM"))</f>
        <v>10-Oct</v>
      </c>
    </row>
    <row r="370" spans="1:12" hidden="1" x14ac:dyDescent="0.3">
      <c r="A370" s="3">
        <v>44816</v>
      </c>
      <c r="B370" s="3">
        <v>44846</v>
      </c>
      <c r="C370" s="4">
        <f t="shared" si="10"/>
        <v>64</v>
      </c>
      <c r="D370" s="5" t="s">
        <v>1189</v>
      </c>
      <c r="E370" s="5">
        <v>20559102271</v>
      </c>
      <c r="F370" s="5" t="s">
        <v>1188</v>
      </c>
      <c r="G370" s="5" t="s">
        <v>33</v>
      </c>
      <c r="H370" s="5" t="s">
        <v>29</v>
      </c>
      <c r="I370" s="31">
        <v>0</v>
      </c>
      <c r="J370" s="31">
        <v>258.66000000000003</v>
      </c>
      <c r="K370" s="6" t="str">
        <f t="shared" si="11"/>
        <v>60 &lt;= 90 DIAS</v>
      </c>
      <c r="L370" s="7" t="str">
        <f>_xlfn.CONCAT(TEXT(MONTH(DATA[[#This Row],[FECHA DE VENCIMIENTO]]),"00"),"-",TEXT(DATA[[#This Row],[FECHA DE VENCIMIENTO]],"MMM"))</f>
        <v>10-Oct</v>
      </c>
    </row>
    <row r="371" spans="1:12" hidden="1" x14ac:dyDescent="0.3">
      <c r="A371" s="3">
        <v>44816</v>
      </c>
      <c r="B371" s="3">
        <v>44846</v>
      </c>
      <c r="C371" s="4">
        <f t="shared" si="10"/>
        <v>64</v>
      </c>
      <c r="D371" s="5" t="s">
        <v>1284</v>
      </c>
      <c r="E371" s="5">
        <v>10444550410</v>
      </c>
      <c r="F371" s="5" t="s">
        <v>382</v>
      </c>
      <c r="G371" s="5" t="s">
        <v>33</v>
      </c>
      <c r="H371" s="5" t="s">
        <v>29</v>
      </c>
      <c r="I371" s="31">
        <v>0</v>
      </c>
      <c r="J371" s="31">
        <v>179.36</v>
      </c>
      <c r="K371" s="6" t="str">
        <f t="shared" si="11"/>
        <v>60 &lt;= 90 DIAS</v>
      </c>
      <c r="L371" s="7" t="str">
        <f>_xlfn.CONCAT(TEXT(MONTH(DATA[[#This Row],[FECHA DE VENCIMIENTO]]),"00"),"-",TEXT(DATA[[#This Row],[FECHA DE VENCIMIENTO]],"MMM"))</f>
        <v>10-Oct</v>
      </c>
    </row>
    <row r="372" spans="1:12" hidden="1" x14ac:dyDescent="0.3">
      <c r="A372" s="3">
        <v>44817</v>
      </c>
      <c r="B372" s="3">
        <v>44847</v>
      </c>
      <c r="C372" s="4">
        <f t="shared" si="10"/>
        <v>63</v>
      </c>
      <c r="D372" s="5" t="s">
        <v>1155</v>
      </c>
      <c r="E372" s="5">
        <v>10452534288</v>
      </c>
      <c r="F372" s="5" t="s">
        <v>1152</v>
      </c>
      <c r="G372" s="5" t="s">
        <v>33</v>
      </c>
      <c r="H372" s="5" t="s">
        <v>29</v>
      </c>
      <c r="I372" s="31">
        <v>0</v>
      </c>
      <c r="J372" s="31">
        <v>103.25</v>
      </c>
      <c r="K372" s="6" t="str">
        <f t="shared" si="11"/>
        <v>60 &lt;= 90 DIAS</v>
      </c>
      <c r="L372" s="7" t="str">
        <f>_xlfn.CONCAT(TEXT(MONTH(DATA[[#This Row],[FECHA DE VENCIMIENTO]]),"00"),"-",TEXT(DATA[[#This Row],[FECHA DE VENCIMIENTO]],"MMM"))</f>
        <v>10-Oct</v>
      </c>
    </row>
    <row r="373" spans="1:12" hidden="1" x14ac:dyDescent="0.3">
      <c r="A373" s="3">
        <v>44788</v>
      </c>
      <c r="B373" s="3">
        <v>44848</v>
      </c>
      <c r="C373" s="4">
        <f t="shared" si="10"/>
        <v>62</v>
      </c>
      <c r="D373" s="5" t="s">
        <v>507</v>
      </c>
      <c r="E373" s="5">
        <v>20320731314</v>
      </c>
      <c r="F373" s="5" t="s">
        <v>331</v>
      </c>
      <c r="G373" s="5" t="s">
        <v>16</v>
      </c>
      <c r="H373" s="5" t="s">
        <v>29</v>
      </c>
      <c r="I373" s="31">
        <v>0</v>
      </c>
      <c r="J373" s="31">
        <v>7692.99</v>
      </c>
      <c r="K373" s="6" t="str">
        <f t="shared" si="11"/>
        <v>60 &lt;= 90 DIAS</v>
      </c>
      <c r="L373" s="7" t="str">
        <f>_xlfn.CONCAT(TEXT(MONTH(DATA[[#This Row],[FECHA DE VENCIMIENTO]]),"00"),"-",TEXT(DATA[[#This Row],[FECHA DE VENCIMIENTO]],"MMM"))</f>
        <v>10-Oct</v>
      </c>
    </row>
    <row r="374" spans="1:12" hidden="1" x14ac:dyDescent="0.3">
      <c r="A374" s="3">
        <v>44788</v>
      </c>
      <c r="B374" s="3">
        <v>44848</v>
      </c>
      <c r="C374" s="4">
        <f t="shared" si="10"/>
        <v>62</v>
      </c>
      <c r="D374" s="5" t="s">
        <v>803</v>
      </c>
      <c r="E374" s="5">
        <v>1</v>
      </c>
      <c r="F374" s="5" t="s">
        <v>362</v>
      </c>
      <c r="G374" s="5" t="s">
        <v>26</v>
      </c>
      <c r="H374" s="5" t="s">
        <v>29</v>
      </c>
      <c r="I374" s="31">
        <v>0</v>
      </c>
      <c r="J374" s="31">
        <v>2338.7600000000002</v>
      </c>
      <c r="K374" s="6" t="str">
        <f t="shared" si="11"/>
        <v>60 &lt;= 90 DIAS</v>
      </c>
      <c r="L374" s="7" t="str">
        <f>_xlfn.CONCAT(TEXT(MONTH(DATA[[#This Row],[FECHA DE VENCIMIENTO]]),"00"),"-",TEXT(DATA[[#This Row],[FECHA DE VENCIMIENTO]],"MMM"))</f>
        <v>10-Oct</v>
      </c>
    </row>
    <row r="375" spans="1:12" hidden="1" x14ac:dyDescent="0.3">
      <c r="A375" s="3">
        <v>44788</v>
      </c>
      <c r="B375" s="3">
        <v>44848</v>
      </c>
      <c r="C375" s="4">
        <f t="shared" si="10"/>
        <v>62</v>
      </c>
      <c r="D375" s="5" t="s">
        <v>831</v>
      </c>
      <c r="E375" s="5">
        <v>20601830818</v>
      </c>
      <c r="F375" s="5" t="s">
        <v>301</v>
      </c>
      <c r="G375" s="5" t="s">
        <v>13</v>
      </c>
      <c r="H375" s="5" t="s">
        <v>7</v>
      </c>
      <c r="I375" s="31">
        <v>11721</v>
      </c>
      <c r="J375" s="31">
        <v>0</v>
      </c>
      <c r="K375" s="6" t="str">
        <f t="shared" si="11"/>
        <v>60 &lt;= 90 DIAS</v>
      </c>
      <c r="L375" s="7" t="str">
        <f>_xlfn.CONCAT(TEXT(MONTH(DATA[[#This Row],[FECHA DE VENCIMIENTO]]),"00"),"-",TEXT(DATA[[#This Row],[FECHA DE VENCIMIENTO]],"MMM"))</f>
        <v>10-Oct</v>
      </c>
    </row>
    <row r="376" spans="1:12" hidden="1" x14ac:dyDescent="0.3">
      <c r="A376" s="3">
        <v>44789</v>
      </c>
      <c r="B376" s="3">
        <v>44849</v>
      </c>
      <c r="C376" s="4">
        <f t="shared" si="10"/>
        <v>61</v>
      </c>
      <c r="D376" s="5" t="s">
        <v>685</v>
      </c>
      <c r="E376" s="5">
        <v>20555507861</v>
      </c>
      <c r="F376" s="5" t="s">
        <v>232</v>
      </c>
      <c r="G376" s="5" t="s">
        <v>26</v>
      </c>
      <c r="H376" s="5" t="s">
        <v>29</v>
      </c>
      <c r="I376" s="31">
        <v>0</v>
      </c>
      <c r="J376" s="31">
        <v>49277.27</v>
      </c>
      <c r="K376" s="6" t="str">
        <f t="shared" si="11"/>
        <v>60 &lt;= 90 DIAS</v>
      </c>
      <c r="L376" s="7" t="str">
        <f>_xlfn.CONCAT(TEXT(MONTH(DATA[[#This Row],[FECHA DE VENCIMIENTO]]),"00"),"-",TEXT(DATA[[#This Row],[FECHA DE VENCIMIENTO]],"MMM"))</f>
        <v>10-Oct</v>
      </c>
    </row>
    <row r="377" spans="1:12" hidden="1" x14ac:dyDescent="0.3">
      <c r="A377" s="3">
        <v>44790</v>
      </c>
      <c r="B377" s="3">
        <v>44850</v>
      </c>
      <c r="C377" s="4">
        <f t="shared" si="10"/>
        <v>60</v>
      </c>
      <c r="D377" s="5" t="s">
        <v>531</v>
      </c>
      <c r="E377" s="5">
        <v>20320731314</v>
      </c>
      <c r="F377" s="5" t="s">
        <v>331</v>
      </c>
      <c r="G377" s="5" t="s">
        <v>16</v>
      </c>
      <c r="H377" s="5" t="s">
        <v>29</v>
      </c>
      <c r="I377" s="31">
        <v>0</v>
      </c>
      <c r="J377" s="31">
        <v>8477.1200000000008</v>
      </c>
      <c r="K377" s="6" t="str">
        <f t="shared" si="11"/>
        <v>30 &lt;= 60 DIAS</v>
      </c>
      <c r="L377" s="7" t="str">
        <f>_xlfn.CONCAT(TEXT(MONTH(DATA[[#This Row],[FECHA DE VENCIMIENTO]]),"00"),"-",TEXT(DATA[[#This Row],[FECHA DE VENCIMIENTO]],"MMM"))</f>
        <v>10-Oct</v>
      </c>
    </row>
    <row r="378" spans="1:12" x14ac:dyDescent="0.3">
      <c r="A378" s="3">
        <v>44820</v>
      </c>
      <c r="B378" s="3">
        <v>44850</v>
      </c>
      <c r="C378" s="4">
        <f t="shared" si="10"/>
        <v>60</v>
      </c>
      <c r="D378" s="5" t="s">
        <v>539</v>
      </c>
      <c r="E378" s="5">
        <v>20104508023</v>
      </c>
      <c r="F378" s="5" t="s">
        <v>540</v>
      </c>
      <c r="G378" s="5" t="s">
        <v>13</v>
      </c>
      <c r="H378" s="5" t="s">
        <v>7</v>
      </c>
      <c r="I378" s="31">
        <v>616</v>
      </c>
      <c r="J378" s="31">
        <v>0</v>
      </c>
      <c r="K378" s="6" t="str">
        <f t="shared" si="11"/>
        <v>30 &lt;= 60 DIAS</v>
      </c>
      <c r="L378" s="7" t="str">
        <f>_xlfn.CONCAT(TEXT(MONTH(DATA[[#This Row],[FECHA DE VENCIMIENTO]]),"00"),"-",TEXT(DATA[[#This Row],[FECHA DE VENCIMIENTO]],"MMM"))</f>
        <v>10-Oct</v>
      </c>
    </row>
    <row r="379" spans="1:12" x14ac:dyDescent="0.3">
      <c r="A379" s="3">
        <v>44791</v>
      </c>
      <c r="B379" s="3">
        <v>44851</v>
      </c>
      <c r="C379" s="4">
        <f t="shared" si="10"/>
        <v>59</v>
      </c>
      <c r="D379" s="5" t="s">
        <v>830</v>
      </c>
      <c r="E379" s="5">
        <v>20601830818</v>
      </c>
      <c r="F379" s="5" t="s">
        <v>301</v>
      </c>
      <c r="G379" s="5" t="s">
        <v>13</v>
      </c>
      <c r="H379" s="5" t="s">
        <v>7</v>
      </c>
      <c r="I379" s="31">
        <v>94.7</v>
      </c>
      <c r="J379" s="31">
        <v>0</v>
      </c>
      <c r="K379" s="6" t="str">
        <f t="shared" si="11"/>
        <v>30 &lt;= 60 DIAS</v>
      </c>
      <c r="L379" s="7" t="str">
        <f>_xlfn.CONCAT(TEXT(MONTH(DATA[[#This Row],[FECHA DE VENCIMIENTO]]),"00"),"-",TEXT(DATA[[#This Row],[FECHA DE VENCIMIENTO]],"MMM"))</f>
        <v>10-Oct</v>
      </c>
    </row>
    <row r="380" spans="1:12" hidden="1" x14ac:dyDescent="0.3">
      <c r="A380" s="3">
        <v>44792</v>
      </c>
      <c r="B380" s="3">
        <v>44852</v>
      </c>
      <c r="C380" s="4">
        <f t="shared" si="10"/>
        <v>58</v>
      </c>
      <c r="D380" s="5" t="s">
        <v>528</v>
      </c>
      <c r="E380" s="5">
        <v>20320731314</v>
      </c>
      <c r="F380" s="5" t="s">
        <v>331</v>
      </c>
      <c r="G380" s="5" t="s">
        <v>16</v>
      </c>
      <c r="H380" s="5" t="s">
        <v>29</v>
      </c>
      <c r="I380" s="31">
        <v>0</v>
      </c>
      <c r="J380" s="31">
        <v>8477.1200000000008</v>
      </c>
      <c r="K380" s="6" t="str">
        <f t="shared" si="11"/>
        <v>30 &lt;= 60 DIAS</v>
      </c>
      <c r="L380" s="7" t="str">
        <f>_xlfn.CONCAT(TEXT(MONTH(DATA[[#This Row],[FECHA DE VENCIMIENTO]]),"00"),"-",TEXT(DATA[[#This Row],[FECHA DE VENCIMIENTO]],"MMM"))</f>
        <v>10-Oct</v>
      </c>
    </row>
    <row r="381" spans="1:12" x14ac:dyDescent="0.3">
      <c r="A381" s="3">
        <v>44853</v>
      </c>
      <c r="B381" s="3">
        <v>44853</v>
      </c>
      <c r="C381" s="4">
        <f t="shared" si="10"/>
        <v>57</v>
      </c>
      <c r="D381" s="5" t="s">
        <v>732</v>
      </c>
      <c r="E381" s="5">
        <v>20600778561</v>
      </c>
      <c r="F381" s="5" t="s">
        <v>733</v>
      </c>
      <c r="G381" s="5" t="s">
        <v>13</v>
      </c>
      <c r="H381" s="5" t="s">
        <v>7</v>
      </c>
      <c r="I381" s="31">
        <v>1375.38</v>
      </c>
      <c r="J381" s="31">
        <v>0</v>
      </c>
      <c r="K381" s="6" t="str">
        <f t="shared" si="11"/>
        <v>30 &lt;= 60 DIAS</v>
      </c>
      <c r="L381" s="7" t="str">
        <f>_xlfn.CONCAT(TEXT(MONTH(DATA[[#This Row],[FECHA DE VENCIMIENTO]]),"00"),"-",TEXT(DATA[[#This Row],[FECHA DE VENCIMIENTO]],"MMM"))</f>
        <v>10-Oct</v>
      </c>
    </row>
    <row r="382" spans="1:12" hidden="1" x14ac:dyDescent="0.3">
      <c r="A382" s="3">
        <v>44824</v>
      </c>
      <c r="B382" s="3">
        <v>44854</v>
      </c>
      <c r="C382" s="4">
        <f t="shared" si="10"/>
        <v>56</v>
      </c>
      <c r="D382" s="5" t="s">
        <v>954</v>
      </c>
      <c r="E382" s="5">
        <v>20566031583</v>
      </c>
      <c r="F382" s="5" t="s">
        <v>953</v>
      </c>
      <c r="G382" s="5" t="s">
        <v>13</v>
      </c>
      <c r="H382" s="5" t="s">
        <v>29</v>
      </c>
      <c r="I382" s="31">
        <v>0</v>
      </c>
      <c r="J382" s="31">
        <v>1625.45</v>
      </c>
      <c r="K382" s="6" t="str">
        <f t="shared" si="11"/>
        <v>30 &lt;= 60 DIAS</v>
      </c>
      <c r="L382" s="7" t="str">
        <f>_xlfn.CONCAT(TEXT(MONTH(DATA[[#This Row],[FECHA DE VENCIMIENTO]]),"00"),"-",TEXT(DATA[[#This Row],[FECHA DE VENCIMIENTO]],"MMM"))</f>
        <v>10-Oct</v>
      </c>
    </row>
    <row r="383" spans="1:12" hidden="1" x14ac:dyDescent="0.3">
      <c r="A383" s="3">
        <v>44796</v>
      </c>
      <c r="B383" s="3">
        <v>44856</v>
      </c>
      <c r="C383" s="4">
        <f t="shared" si="10"/>
        <v>54</v>
      </c>
      <c r="D383" s="5" t="s">
        <v>526</v>
      </c>
      <c r="E383" s="5">
        <v>20320731314</v>
      </c>
      <c r="F383" s="5" t="s">
        <v>331</v>
      </c>
      <c r="G383" s="5" t="s">
        <v>16</v>
      </c>
      <c r="H383" s="5" t="s">
        <v>29</v>
      </c>
      <c r="I383" s="31">
        <v>0</v>
      </c>
      <c r="J383" s="31">
        <v>8477.1200000000008</v>
      </c>
      <c r="K383" s="6" t="str">
        <f t="shared" si="11"/>
        <v>30 &lt;= 60 DIAS</v>
      </c>
      <c r="L383" s="7" t="str">
        <f>_xlfn.CONCAT(TEXT(MONTH(DATA[[#This Row],[FECHA DE VENCIMIENTO]]),"00"),"-",TEXT(DATA[[#This Row],[FECHA DE VENCIMIENTO]],"MMM"))</f>
        <v>10-Oct</v>
      </c>
    </row>
    <row r="384" spans="1:12" hidden="1" x14ac:dyDescent="0.3">
      <c r="A384" s="3">
        <v>44826</v>
      </c>
      <c r="B384" s="3">
        <v>44856</v>
      </c>
      <c r="C384" s="4">
        <f t="shared" si="10"/>
        <v>54</v>
      </c>
      <c r="D384" s="5" t="s">
        <v>1212</v>
      </c>
      <c r="E384" s="5">
        <v>20601173469</v>
      </c>
      <c r="F384" s="5" t="s">
        <v>1213</v>
      </c>
      <c r="G384" s="5" t="s">
        <v>33</v>
      </c>
      <c r="H384" s="5" t="s">
        <v>29</v>
      </c>
      <c r="I384" s="31">
        <v>0</v>
      </c>
      <c r="J384" s="31">
        <v>55.46</v>
      </c>
      <c r="K384" s="6" t="str">
        <f t="shared" si="11"/>
        <v>30 &lt;= 60 DIAS</v>
      </c>
      <c r="L384" s="7" t="str">
        <f>_xlfn.CONCAT(TEXT(MONTH(DATA[[#This Row],[FECHA DE VENCIMIENTO]]),"00"),"-",TEXT(DATA[[#This Row],[FECHA DE VENCIMIENTO]],"MMM"))</f>
        <v>10-Oct</v>
      </c>
    </row>
    <row r="385" spans="1:12" x14ac:dyDescent="0.3">
      <c r="A385" s="3">
        <v>44737</v>
      </c>
      <c r="B385" s="3">
        <v>44857</v>
      </c>
      <c r="C385" s="4">
        <f t="shared" si="10"/>
        <v>53</v>
      </c>
      <c r="D385" s="5" t="s">
        <v>1218</v>
      </c>
      <c r="E385" s="5">
        <v>20100154308</v>
      </c>
      <c r="F385" s="5" t="s">
        <v>1217</v>
      </c>
      <c r="G385" s="5" t="s">
        <v>16</v>
      </c>
      <c r="H385" s="5" t="s">
        <v>7</v>
      </c>
      <c r="I385" s="31">
        <v>289.10000000000002</v>
      </c>
      <c r="J385" s="31">
        <v>0</v>
      </c>
      <c r="K385" s="6" t="str">
        <f t="shared" si="11"/>
        <v>30 &lt;= 60 DIAS</v>
      </c>
      <c r="L385" s="7" t="str">
        <f>_xlfn.CONCAT(TEXT(MONTH(DATA[[#This Row],[FECHA DE VENCIMIENTO]]),"00"),"-",TEXT(DATA[[#This Row],[FECHA DE VENCIMIENTO]],"MMM"))</f>
        <v>10-Oct</v>
      </c>
    </row>
    <row r="386" spans="1:12" hidden="1" x14ac:dyDescent="0.3">
      <c r="A386" s="3">
        <v>44827</v>
      </c>
      <c r="B386" s="3">
        <v>44857</v>
      </c>
      <c r="C386" s="4">
        <f t="shared" si="10"/>
        <v>53</v>
      </c>
      <c r="D386" s="5" t="s">
        <v>1283</v>
      </c>
      <c r="E386" s="5">
        <v>10444550410</v>
      </c>
      <c r="F386" s="5" t="s">
        <v>382</v>
      </c>
      <c r="G386" s="5" t="s">
        <v>33</v>
      </c>
      <c r="H386" s="5" t="s">
        <v>29</v>
      </c>
      <c r="I386" s="31">
        <v>0</v>
      </c>
      <c r="J386" s="31">
        <v>424.8</v>
      </c>
      <c r="K386" s="6" t="str">
        <f t="shared" si="11"/>
        <v>30 &lt;= 60 DIAS</v>
      </c>
      <c r="L386" s="7" t="str">
        <f>_xlfn.CONCAT(TEXT(MONTH(DATA[[#This Row],[FECHA DE VENCIMIENTO]]),"00"),"-",TEXT(DATA[[#This Row],[FECHA DE VENCIMIENTO]],"MMM"))</f>
        <v>10-Oct</v>
      </c>
    </row>
    <row r="387" spans="1:12" x14ac:dyDescent="0.3">
      <c r="A387" s="3">
        <v>44813</v>
      </c>
      <c r="B387" s="3">
        <v>44858</v>
      </c>
      <c r="C387" s="4">
        <f t="shared" si="10"/>
        <v>52</v>
      </c>
      <c r="D387" s="5" t="s">
        <v>608</v>
      </c>
      <c r="E387" s="5">
        <v>20600678397</v>
      </c>
      <c r="F387" s="5" t="s">
        <v>607</v>
      </c>
      <c r="G387" s="5" t="s">
        <v>33</v>
      </c>
      <c r="H387" s="5" t="s">
        <v>7</v>
      </c>
      <c r="I387" s="31">
        <v>427.99</v>
      </c>
      <c r="J387" s="31">
        <v>0</v>
      </c>
      <c r="K387" s="6" t="str">
        <f t="shared" si="11"/>
        <v>30 &lt;= 60 DIAS</v>
      </c>
      <c r="L387" s="7" t="str">
        <f>_xlfn.CONCAT(TEXT(MONTH(DATA[[#This Row],[FECHA DE VENCIMIENTO]]),"00"),"-",TEXT(DATA[[#This Row],[FECHA DE VENCIMIENTO]],"MMM"))</f>
        <v>10-Oct</v>
      </c>
    </row>
    <row r="388" spans="1:12" hidden="1" x14ac:dyDescent="0.3">
      <c r="A388" s="3">
        <v>44858</v>
      </c>
      <c r="B388" s="3">
        <v>44858</v>
      </c>
      <c r="C388" s="4">
        <f t="shared" ref="C388:C451" si="12">$E$2-B388</f>
        <v>52</v>
      </c>
      <c r="D388" s="5" t="s">
        <v>811</v>
      </c>
      <c r="E388" s="5">
        <v>20467089464</v>
      </c>
      <c r="F388" s="5" t="s">
        <v>810</v>
      </c>
      <c r="G388" s="5" t="s">
        <v>26</v>
      </c>
      <c r="H388" s="5" t="s">
        <v>29</v>
      </c>
      <c r="I388" s="31">
        <v>0</v>
      </c>
      <c r="J388" s="31">
        <v>1463.63</v>
      </c>
      <c r="K388" s="6" t="str">
        <f t="shared" ref="K388:K451" si="13">IF(C388&gt;180,"180 &lt;= 360 DIAS",IF(C388&gt;90,"90 &lt;= 180 DIAS",IF(C388&gt;60,"60 &lt;= 90 DIAS",IF(C388&gt;30,"30 &lt;= 60 DIAS",IF(C388&gt;15,"15 &lt;= 30 DIAS","1-POR VENCER")))))</f>
        <v>30 &lt;= 60 DIAS</v>
      </c>
      <c r="L388" s="7" t="str">
        <f>_xlfn.CONCAT(TEXT(MONTH(DATA[[#This Row],[FECHA DE VENCIMIENTO]]),"00"),"-",TEXT(DATA[[#This Row],[FECHA DE VENCIMIENTO]],"MMM"))</f>
        <v>10-Oct</v>
      </c>
    </row>
    <row r="389" spans="1:12" hidden="1" x14ac:dyDescent="0.3">
      <c r="A389" s="3">
        <v>44799</v>
      </c>
      <c r="B389" s="3">
        <v>44859</v>
      </c>
      <c r="C389" s="4">
        <f t="shared" si="12"/>
        <v>51</v>
      </c>
      <c r="D389" s="5" t="s">
        <v>712</v>
      </c>
      <c r="E389" s="5">
        <v>20132373958</v>
      </c>
      <c r="F389" s="5" t="s">
        <v>697</v>
      </c>
      <c r="G389" s="5" t="s">
        <v>58</v>
      </c>
      <c r="H389" s="5" t="s">
        <v>29</v>
      </c>
      <c r="I389" s="31">
        <v>0</v>
      </c>
      <c r="J389" s="31">
        <v>33099</v>
      </c>
      <c r="K389" s="6" t="str">
        <f t="shared" si="13"/>
        <v>30 &lt;= 60 DIAS</v>
      </c>
      <c r="L389" s="7" t="str">
        <f>_xlfn.CONCAT(TEXT(MONTH(DATA[[#This Row],[FECHA DE VENCIMIENTO]]),"00"),"-",TEXT(DATA[[#This Row],[FECHA DE VENCIMIENTO]],"MMM"))</f>
        <v>10-Oct</v>
      </c>
    </row>
    <row r="390" spans="1:12" x14ac:dyDescent="0.3">
      <c r="A390" s="3">
        <v>44799</v>
      </c>
      <c r="B390" s="3">
        <v>44859</v>
      </c>
      <c r="C390" s="4">
        <f t="shared" si="12"/>
        <v>51</v>
      </c>
      <c r="D390" s="5" t="s">
        <v>828</v>
      </c>
      <c r="E390" s="5">
        <v>20601830818</v>
      </c>
      <c r="F390" s="5" t="s">
        <v>301</v>
      </c>
      <c r="G390" s="5" t="s">
        <v>13</v>
      </c>
      <c r="H390" s="5" t="s">
        <v>7</v>
      </c>
      <c r="I390" s="31">
        <v>11799.76</v>
      </c>
      <c r="J390" s="31">
        <v>0</v>
      </c>
      <c r="K390" s="6" t="str">
        <f t="shared" si="13"/>
        <v>30 &lt;= 60 DIAS</v>
      </c>
      <c r="L390" s="7" t="str">
        <f>_xlfn.CONCAT(TEXT(MONTH(DATA[[#This Row],[FECHA DE VENCIMIENTO]]),"00"),"-",TEXT(DATA[[#This Row],[FECHA DE VENCIMIENTO]],"MMM"))</f>
        <v>10-Oct</v>
      </c>
    </row>
    <row r="391" spans="1:12" hidden="1" x14ac:dyDescent="0.3">
      <c r="A391" s="3">
        <v>44859</v>
      </c>
      <c r="B391" s="3">
        <v>44859</v>
      </c>
      <c r="C391" s="4">
        <f t="shared" si="12"/>
        <v>51</v>
      </c>
      <c r="D391" s="5" t="s">
        <v>844</v>
      </c>
      <c r="E391" s="5">
        <v>43495799</v>
      </c>
      <c r="F391" s="5" t="s">
        <v>845</v>
      </c>
      <c r="G391" s="5" t="s">
        <v>33</v>
      </c>
      <c r="H391" s="5" t="s">
        <v>29</v>
      </c>
      <c r="I391" s="31">
        <v>0</v>
      </c>
      <c r="J391" s="31">
        <v>268.45</v>
      </c>
      <c r="K391" s="6" t="str">
        <f t="shared" si="13"/>
        <v>30 &lt;= 60 DIAS</v>
      </c>
      <c r="L391" s="7" t="str">
        <f>_xlfn.CONCAT(TEXT(MONTH(DATA[[#This Row],[FECHA DE VENCIMIENTO]]),"00"),"-",TEXT(DATA[[#This Row],[FECHA DE VENCIMIENTO]],"MMM"))</f>
        <v>10-Oct</v>
      </c>
    </row>
    <row r="392" spans="1:12" x14ac:dyDescent="0.3">
      <c r="A392" s="3">
        <v>44859</v>
      </c>
      <c r="B392" s="3">
        <v>44859</v>
      </c>
      <c r="C392" s="4">
        <f t="shared" si="12"/>
        <v>51</v>
      </c>
      <c r="D392" s="5" t="s">
        <v>846</v>
      </c>
      <c r="E392" s="5">
        <v>43495799</v>
      </c>
      <c r="F392" s="5" t="s">
        <v>845</v>
      </c>
      <c r="G392" s="5" t="s">
        <v>33</v>
      </c>
      <c r="H392" s="5" t="s">
        <v>7</v>
      </c>
      <c r="I392" s="31">
        <v>778.8</v>
      </c>
      <c r="J392" s="31">
        <v>0</v>
      </c>
      <c r="K392" s="6" t="str">
        <f t="shared" si="13"/>
        <v>30 &lt;= 60 DIAS</v>
      </c>
      <c r="L392" s="7" t="str">
        <f>_xlfn.CONCAT(TEXT(MONTH(DATA[[#This Row],[FECHA DE VENCIMIENTO]]),"00"),"-",TEXT(DATA[[#This Row],[FECHA DE VENCIMIENTO]],"MMM"))</f>
        <v>10-Oct</v>
      </c>
    </row>
    <row r="393" spans="1:12" hidden="1" x14ac:dyDescent="0.3">
      <c r="A393" s="3">
        <v>44854</v>
      </c>
      <c r="B393" s="3">
        <v>44859</v>
      </c>
      <c r="C393" s="4">
        <f t="shared" si="12"/>
        <v>51</v>
      </c>
      <c r="D393" s="5" t="s">
        <v>995</v>
      </c>
      <c r="E393" s="5">
        <v>20606113758</v>
      </c>
      <c r="F393" s="5" t="s">
        <v>174</v>
      </c>
      <c r="G393" s="5" t="s">
        <v>13</v>
      </c>
      <c r="H393" s="5" t="s">
        <v>29</v>
      </c>
      <c r="I393" s="31">
        <v>0</v>
      </c>
      <c r="J393" s="31">
        <v>832.61</v>
      </c>
      <c r="K393" s="6" t="str">
        <f t="shared" si="13"/>
        <v>30 &lt;= 60 DIAS</v>
      </c>
      <c r="L393" s="7" t="str">
        <f>_xlfn.CONCAT(TEXT(MONTH(DATA[[#This Row],[FECHA DE VENCIMIENTO]]),"00"),"-",TEXT(DATA[[#This Row],[FECHA DE VENCIMIENTO]],"MMM"))</f>
        <v>10-Oct</v>
      </c>
    </row>
    <row r="394" spans="1:12" hidden="1" x14ac:dyDescent="0.3">
      <c r="A394" s="3">
        <v>44859</v>
      </c>
      <c r="B394" s="3">
        <v>44859</v>
      </c>
      <c r="C394" s="4">
        <f t="shared" si="12"/>
        <v>51</v>
      </c>
      <c r="D394" s="5" t="s">
        <v>1013</v>
      </c>
      <c r="E394" s="5">
        <v>20481231559</v>
      </c>
      <c r="F394" s="5" t="s">
        <v>1014</v>
      </c>
      <c r="G394" s="5" t="s">
        <v>58</v>
      </c>
      <c r="H394" s="5" t="s">
        <v>29</v>
      </c>
      <c r="I394" s="31">
        <v>0</v>
      </c>
      <c r="J394" s="31">
        <v>57.11</v>
      </c>
      <c r="K394" s="6" t="str">
        <f t="shared" si="13"/>
        <v>30 &lt;= 60 DIAS</v>
      </c>
      <c r="L394" s="7" t="str">
        <f>_xlfn.CONCAT(TEXT(MONTH(DATA[[#This Row],[FECHA DE VENCIMIENTO]]),"00"),"-",TEXT(DATA[[#This Row],[FECHA DE VENCIMIENTO]],"MMM"))</f>
        <v>10-Oct</v>
      </c>
    </row>
    <row r="395" spans="1:12" x14ac:dyDescent="0.3">
      <c r="A395" s="3">
        <v>44739</v>
      </c>
      <c r="B395" s="3">
        <v>44859</v>
      </c>
      <c r="C395" s="4">
        <f t="shared" si="12"/>
        <v>51</v>
      </c>
      <c r="D395" s="5" t="s">
        <v>1240</v>
      </c>
      <c r="E395" s="5">
        <v>20100154308</v>
      </c>
      <c r="F395" s="5" t="s">
        <v>1217</v>
      </c>
      <c r="G395" s="5" t="s">
        <v>16</v>
      </c>
      <c r="H395" s="5" t="s">
        <v>7</v>
      </c>
      <c r="I395" s="31">
        <v>15859.2</v>
      </c>
      <c r="J395" s="31">
        <v>0</v>
      </c>
      <c r="K395" s="6" t="str">
        <f t="shared" si="13"/>
        <v>30 &lt;= 60 DIAS</v>
      </c>
      <c r="L395" s="7" t="str">
        <f>_xlfn.CONCAT(TEXT(MONTH(DATA[[#This Row],[FECHA DE VENCIMIENTO]]),"00"),"-",TEXT(DATA[[#This Row],[FECHA DE VENCIMIENTO]],"MMM"))</f>
        <v>10-Oct</v>
      </c>
    </row>
    <row r="396" spans="1:12" hidden="1" x14ac:dyDescent="0.3">
      <c r="A396" s="3">
        <v>44860</v>
      </c>
      <c r="B396" s="3">
        <v>44860</v>
      </c>
      <c r="C396" s="4">
        <f t="shared" si="12"/>
        <v>50</v>
      </c>
      <c r="D396" s="5" t="s">
        <v>988</v>
      </c>
      <c r="E396" s="5">
        <v>20606113758</v>
      </c>
      <c r="F396" s="5" t="s">
        <v>174</v>
      </c>
      <c r="G396" s="5" t="s">
        <v>13</v>
      </c>
      <c r="H396" s="5" t="s">
        <v>29</v>
      </c>
      <c r="I396" s="31">
        <v>0</v>
      </c>
      <c r="J396" s="31">
        <v>832.61</v>
      </c>
      <c r="K396" s="6" t="str">
        <f t="shared" si="13"/>
        <v>30 &lt;= 60 DIAS</v>
      </c>
      <c r="L396" s="7" t="str">
        <f>_xlfn.CONCAT(TEXT(MONTH(DATA[[#This Row],[FECHA DE VENCIMIENTO]]),"00"),"-",TEXT(DATA[[#This Row],[FECHA DE VENCIMIENTO]],"MMM"))</f>
        <v>10-Oct</v>
      </c>
    </row>
    <row r="397" spans="1:12" x14ac:dyDescent="0.3">
      <c r="A397" s="3">
        <v>44740</v>
      </c>
      <c r="B397" s="3">
        <v>44860</v>
      </c>
      <c r="C397" s="4">
        <f t="shared" si="12"/>
        <v>50</v>
      </c>
      <c r="D397" s="5" t="s">
        <v>1220</v>
      </c>
      <c r="E397" s="5">
        <v>20100154308</v>
      </c>
      <c r="F397" s="5" t="s">
        <v>1217</v>
      </c>
      <c r="G397" s="5" t="s">
        <v>16</v>
      </c>
      <c r="H397" s="5" t="s">
        <v>7</v>
      </c>
      <c r="I397" s="31">
        <v>20.65</v>
      </c>
      <c r="J397" s="31">
        <v>0</v>
      </c>
      <c r="K397" s="6" t="str">
        <f t="shared" si="13"/>
        <v>30 &lt;= 60 DIAS</v>
      </c>
      <c r="L397" s="7" t="str">
        <f>_xlfn.CONCAT(TEXT(MONTH(DATA[[#This Row],[FECHA DE VENCIMIENTO]]),"00"),"-",TEXT(DATA[[#This Row],[FECHA DE VENCIMIENTO]],"MMM"))</f>
        <v>10-Oct</v>
      </c>
    </row>
    <row r="398" spans="1:12" x14ac:dyDescent="0.3">
      <c r="A398" s="3">
        <v>44861</v>
      </c>
      <c r="B398" s="3">
        <v>44861</v>
      </c>
      <c r="C398" s="4">
        <f t="shared" si="12"/>
        <v>49</v>
      </c>
      <c r="D398" s="5" t="s">
        <v>918</v>
      </c>
      <c r="E398" s="5">
        <v>20538241378</v>
      </c>
      <c r="F398" s="5" t="s">
        <v>236</v>
      </c>
      <c r="G398" s="5" t="s">
        <v>13</v>
      </c>
      <c r="H398" s="5" t="s">
        <v>7</v>
      </c>
      <c r="I398" s="31">
        <v>10506.87</v>
      </c>
      <c r="J398" s="31">
        <v>0</v>
      </c>
      <c r="K398" s="6" t="str">
        <f t="shared" si="13"/>
        <v>30 &lt;= 60 DIAS</v>
      </c>
      <c r="L398" s="7" t="str">
        <f>_xlfn.CONCAT(TEXT(MONTH(DATA[[#This Row],[FECHA DE VENCIMIENTO]]),"00"),"-",TEXT(DATA[[#This Row],[FECHA DE VENCIMIENTO]],"MMM"))</f>
        <v>10-Oct</v>
      </c>
    </row>
    <row r="399" spans="1:12" x14ac:dyDescent="0.3">
      <c r="A399" s="3">
        <v>44861</v>
      </c>
      <c r="B399" s="3">
        <v>44861</v>
      </c>
      <c r="C399" s="4">
        <f t="shared" si="12"/>
        <v>49</v>
      </c>
      <c r="D399" s="5" t="s">
        <v>919</v>
      </c>
      <c r="E399" s="5">
        <v>20538241378</v>
      </c>
      <c r="F399" s="5" t="s">
        <v>236</v>
      </c>
      <c r="G399" s="5" t="s">
        <v>13</v>
      </c>
      <c r="H399" s="5" t="s">
        <v>7</v>
      </c>
      <c r="I399" s="31">
        <v>2714</v>
      </c>
      <c r="J399" s="31">
        <v>0</v>
      </c>
      <c r="K399" s="6" t="str">
        <f t="shared" si="13"/>
        <v>30 &lt;= 60 DIAS</v>
      </c>
      <c r="L399" s="7" t="str">
        <f>_xlfn.CONCAT(TEXT(MONTH(DATA[[#This Row],[FECHA DE VENCIMIENTO]]),"00"),"-",TEXT(DATA[[#This Row],[FECHA DE VENCIMIENTO]],"MMM"))</f>
        <v>10-Oct</v>
      </c>
    </row>
    <row r="400" spans="1:12" x14ac:dyDescent="0.3">
      <c r="A400" s="3">
        <v>44831</v>
      </c>
      <c r="B400" s="3">
        <v>44861</v>
      </c>
      <c r="C400" s="4">
        <f t="shared" si="12"/>
        <v>49</v>
      </c>
      <c r="D400" s="5" t="s">
        <v>987</v>
      </c>
      <c r="E400" s="5">
        <v>20606113758</v>
      </c>
      <c r="F400" s="5" t="s">
        <v>174</v>
      </c>
      <c r="G400" s="5" t="s">
        <v>13</v>
      </c>
      <c r="H400" s="5" t="s">
        <v>7</v>
      </c>
      <c r="I400" s="31">
        <v>5663.68</v>
      </c>
      <c r="J400" s="31">
        <v>0</v>
      </c>
      <c r="K400" s="6" t="str">
        <f t="shared" si="13"/>
        <v>30 &lt;= 60 DIAS</v>
      </c>
      <c r="L400" s="7" t="str">
        <f>_xlfn.CONCAT(TEXT(MONTH(DATA[[#This Row],[FECHA DE VENCIMIENTO]]),"00"),"-",TEXT(DATA[[#This Row],[FECHA DE VENCIMIENTO]],"MMM"))</f>
        <v>10-Oct</v>
      </c>
    </row>
    <row r="401" spans="1:12" hidden="1" x14ac:dyDescent="0.3">
      <c r="A401" s="3">
        <v>44802</v>
      </c>
      <c r="B401" s="3">
        <v>44862</v>
      </c>
      <c r="C401" s="4">
        <f t="shared" si="12"/>
        <v>48</v>
      </c>
      <c r="D401" s="5" t="s">
        <v>525</v>
      </c>
      <c r="E401" s="5">
        <v>20320731314</v>
      </c>
      <c r="F401" s="5" t="s">
        <v>331</v>
      </c>
      <c r="G401" s="5" t="s">
        <v>16</v>
      </c>
      <c r="H401" s="5" t="s">
        <v>29</v>
      </c>
      <c r="I401" s="31">
        <v>0</v>
      </c>
      <c r="J401" s="31">
        <v>8477.1200000000008</v>
      </c>
      <c r="K401" s="6" t="str">
        <f t="shared" si="13"/>
        <v>30 &lt;= 60 DIAS</v>
      </c>
      <c r="L401" s="7" t="str">
        <f>_xlfn.CONCAT(TEXT(MONTH(DATA[[#This Row],[FECHA DE VENCIMIENTO]]),"00"),"-",TEXT(DATA[[#This Row],[FECHA DE VENCIMIENTO]],"MMM"))</f>
        <v>10-Oct</v>
      </c>
    </row>
    <row r="402" spans="1:12" x14ac:dyDescent="0.3">
      <c r="A402" s="3">
        <v>44832</v>
      </c>
      <c r="B402" s="3">
        <v>44862</v>
      </c>
      <c r="C402" s="4">
        <f t="shared" si="12"/>
        <v>48</v>
      </c>
      <c r="D402" s="5" t="s">
        <v>927</v>
      </c>
      <c r="E402" s="5">
        <v>20606753820</v>
      </c>
      <c r="F402" s="5" t="s">
        <v>925</v>
      </c>
      <c r="G402" s="5" t="s">
        <v>33</v>
      </c>
      <c r="H402" s="5" t="s">
        <v>7</v>
      </c>
      <c r="I402" s="31">
        <v>5772.08</v>
      </c>
      <c r="J402" s="31">
        <v>0</v>
      </c>
      <c r="K402" s="6" t="str">
        <f t="shared" si="13"/>
        <v>30 &lt;= 60 DIAS</v>
      </c>
      <c r="L402" s="7" t="str">
        <f>_xlfn.CONCAT(TEXT(MONTH(DATA[[#This Row],[FECHA DE VENCIMIENTO]]),"00"),"-",TEXT(DATA[[#This Row],[FECHA DE VENCIMIENTO]],"MMM"))</f>
        <v>10-Oct</v>
      </c>
    </row>
    <row r="403" spans="1:12" x14ac:dyDescent="0.3">
      <c r="A403" s="3">
        <v>44803</v>
      </c>
      <c r="B403" s="3">
        <v>44863</v>
      </c>
      <c r="C403" s="4">
        <f t="shared" si="12"/>
        <v>47</v>
      </c>
      <c r="D403" s="5" t="s">
        <v>700</v>
      </c>
      <c r="E403" s="5">
        <v>20132373958</v>
      </c>
      <c r="F403" s="5" t="s">
        <v>697</v>
      </c>
      <c r="G403" s="5" t="s">
        <v>58</v>
      </c>
      <c r="H403" s="5" t="s">
        <v>7</v>
      </c>
      <c r="I403" s="31">
        <v>9450.33</v>
      </c>
      <c r="J403" s="31">
        <v>0</v>
      </c>
      <c r="K403" s="6" t="str">
        <f t="shared" si="13"/>
        <v>30 &lt;= 60 DIAS</v>
      </c>
      <c r="L403" s="7" t="str">
        <f>_xlfn.CONCAT(TEXT(MONTH(DATA[[#This Row],[FECHA DE VENCIMIENTO]]),"00"),"-",TEXT(DATA[[#This Row],[FECHA DE VENCIMIENTO]],"MMM"))</f>
        <v>10-Oct</v>
      </c>
    </row>
    <row r="404" spans="1:12" x14ac:dyDescent="0.3">
      <c r="A404" s="3">
        <v>44803</v>
      </c>
      <c r="B404" s="3">
        <v>44863</v>
      </c>
      <c r="C404" s="4">
        <f t="shared" si="12"/>
        <v>47</v>
      </c>
      <c r="D404" s="5" t="s">
        <v>701</v>
      </c>
      <c r="E404" s="5">
        <v>20132373958</v>
      </c>
      <c r="F404" s="5" t="s">
        <v>697</v>
      </c>
      <c r="G404" s="5" t="s">
        <v>58</v>
      </c>
      <c r="H404" s="5" t="s">
        <v>7</v>
      </c>
      <c r="I404" s="31">
        <v>3955.95</v>
      </c>
      <c r="J404" s="31">
        <v>0</v>
      </c>
      <c r="K404" s="6" t="str">
        <f t="shared" si="13"/>
        <v>30 &lt;= 60 DIAS</v>
      </c>
      <c r="L404" s="7" t="str">
        <f>_xlfn.CONCAT(TEXT(MONTH(DATA[[#This Row],[FECHA DE VENCIMIENTO]]),"00"),"-",TEXT(DATA[[#This Row],[FECHA DE VENCIMIENTO]],"MMM"))</f>
        <v>10-Oct</v>
      </c>
    </row>
    <row r="405" spans="1:12" x14ac:dyDescent="0.3">
      <c r="A405" s="3">
        <v>44803</v>
      </c>
      <c r="B405" s="3">
        <v>44863</v>
      </c>
      <c r="C405" s="4">
        <f t="shared" si="12"/>
        <v>47</v>
      </c>
      <c r="D405" s="5" t="s">
        <v>825</v>
      </c>
      <c r="E405" s="5">
        <v>20601830818</v>
      </c>
      <c r="F405" s="5" t="s">
        <v>301</v>
      </c>
      <c r="G405" s="5" t="s">
        <v>13</v>
      </c>
      <c r="H405" s="5" t="s">
        <v>7</v>
      </c>
      <c r="I405" s="31">
        <v>2053.1999999999998</v>
      </c>
      <c r="J405" s="31">
        <v>0</v>
      </c>
      <c r="K405" s="6" t="str">
        <f t="shared" si="13"/>
        <v>30 &lt;= 60 DIAS</v>
      </c>
      <c r="L405" s="7" t="str">
        <f>_xlfn.CONCAT(TEXT(MONTH(DATA[[#This Row],[FECHA DE VENCIMIENTO]]),"00"),"-",TEXT(DATA[[#This Row],[FECHA DE VENCIMIENTO]],"MMM"))</f>
        <v>10-Oct</v>
      </c>
    </row>
    <row r="406" spans="1:12" hidden="1" x14ac:dyDescent="0.3">
      <c r="A406" s="3">
        <v>44834</v>
      </c>
      <c r="B406" s="3">
        <v>44864</v>
      </c>
      <c r="C406" s="4">
        <f t="shared" si="12"/>
        <v>46</v>
      </c>
      <c r="D406" s="5" t="s">
        <v>770</v>
      </c>
      <c r="E406" s="5">
        <v>20601764084</v>
      </c>
      <c r="F406" s="5" t="s">
        <v>771</v>
      </c>
      <c r="G406" s="5" t="s">
        <v>33</v>
      </c>
      <c r="H406" s="5" t="s">
        <v>29</v>
      </c>
      <c r="I406" s="31">
        <v>0</v>
      </c>
      <c r="J406" s="31">
        <v>177</v>
      </c>
      <c r="K406" s="6" t="str">
        <f t="shared" si="13"/>
        <v>30 &lt;= 60 DIAS</v>
      </c>
      <c r="L406" s="7" t="str">
        <f>_xlfn.CONCAT(TEXT(MONTH(DATA[[#This Row],[FECHA DE VENCIMIENTO]]),"00"),"-",TEXT(DATA[[#This Row],[FECHA DE VENCIMIENTO]],"MMM"))</f>
        <v>10-Oct</v>
      </c>
    </row>
    <row r="407" spans="1:12" hidden="1" x14ac:dyDescent="0.3">
      <c r="A407" s="3">
        <v>44834</v>
      </c>
      <c r="B407" s="3">
        <v>44864</v>
      </c>
      <c r="C407" s="4">
        <f t="shared" si="12"/>
        <v>46</v>
      </c>
      <c r="D407" s="5" t="s">
        <v>772</v>
      </c>
      <c r="E407" s="5">
        <v>20601764084</v>
      </c>
      <c r="F407" s="5" t="s">
        <v>771</v>
      </c>
      <c r="G407" s="5" t="s">
        <v>33</v>
      </c>
      <c r="H407" s="5"/>
      <c r="I407" s="31">
        <v>1298</v>
      </c>
      <c r="J407" s="31">
        <v>0</v>
      </c>
      <c r="K407" s="6" t="str">
        <f t="shared" si="13"/>
        <v>30 &lt;= 60 DIAS</v>
      </c>
      <c r="L407" s="7" t="str">
        <f>_xlfn.CONCAT(TEXT(MONTH(DATA[[#This Row],[FECHA DE VENCIMIENTO]]),"00"),"-",TEXT(DATA[[#This Row],[FECHA DE VENCIMIENTO]],"MMM"))</f>
        <v>10-Oct</v>
      </c>
    </row>
    <row r="408" spans="1:12" x14ac:dyDescent="0.3">
      <c r="A408" s="3">
        <v>44834</v>
      </c>
      <c r="B408" s="3">
        <v>44864</v>
      </c>
      <c r="C408" s="4">
        <f t="shared" si="12"/>
        <v>46</v>
      </c>
      <c r="D408" s="5" t="s">
        <v>990</v>
      </c>
      <c r="E408" s="5">
        <v>20606113758</v>
      </c>
      <c r="F408" s="5" t="s">
        <v>174</v>
      </c>
      <c r="G408" s="5" t="s">
        <v>13</v>
      </c>
      <c r="H408" s="5" t="s">
        <v>7</v>
      </c>
      <c r="I408" s="31">
        <v>1130.1600000000001</v>
      </c>
      <c r="J408" s="31">
        <v>0</v>
      </c>
      <c r="K408" s="6" t="str">
        <f t="shared" si="13"/>
        <v>30 &lt;= 60 DIAS</v>
      </c>
      <c r="L408" s="7" t="str">
        <f>_xlfn.CONCAT(TEXT(MONTH(DATA[[#This Row],[FECHA DE VENCIMIENTO]]),"00"),"-",TEXT(DATA[[#This Row],[FECHA DE VENCIMIENTO]],"MMM"))</f>
        <v>10-Oct</v>
      </c>
    </row>
    <row r="409" spans="1:12" hidden="1" x14ac:dyDescent="0.3">
      <c r="A409" s="3">
        <v>44834</v>
      </c>
      <c r="B409" s="3">
        <v>44864</v>
      </c>
      <c r="C409" s="4">
        <f t="shared" si="12"/>
        <v>46</v>
      </c>
      <c r="D409" s="5" t="s">
        <v>1123</v>
      </c>
      <c r="E409" s="5">
        <v>20600365461</v>
      </c>
      <c r="F409" s="5" t="s">
        <v>1124</v>
      </c>
      <c r="G409" s="5" t="s">
        <v>33</v>
      </c>
      <c r="H409" s="5" t="s">
        <v>29</v>
      </c>
      <c r="I409" s="31">
        <v>0</v>
      </c>
      <c r="J409" s="31">
        <v>146.32</v>
      </c>
      <c r="K409" s="6" t="str">
        <f t="shared" si="13"/>
        <v>30 &lt;= 60 DIAS</v>
      </c>
      <c r="L409" s="7" t="str">
        <f>_xlfn.CONCAT(TEXT(MONTH(DATA[[#This Row],[FECHA DE VENCIMIENTO]]),"00"),"-",TEXT(DATA[[#This Row],[FECHA DE VENCIMIENTO]],"MMM"))</f>
        <v>10-Oct</v>
      </c>
    </row>
    <row r="410" spans="1:12" hidden="1" x14ac:dyDescent="0.3">
      <c r="A410" s="3">
        <v>44834</v>
      </c>
      <c r="B410" s="3">
        <v>44864</v>
      </c>
      <c r="C410" s="4">
        <f t="shared" si="12"/>
        <v>46</v>
      </c>
      <c r="D410" s="5" t="s">
        <v>1151</v>
      </c>
      <c r="E410" s="5">
        <v>10452534288</v>
      </c>
      <c r="F410" s="5" t="s">
        <v>1152</v>
      </c>
      <c r="G410" s="5" t="s">
        <v>33</v>
      </c>
      <c r="H410" s="5" t="s">
        <v>29</v>
      </c>
      <c r="I410" s="31">
        <v>0</v>
      </c>
      <c r="J410" s="31">
        <v>309.75</v>
      </c>
      <c r="K410" s="6" t="str">
        <f t="shared" si="13"/>
        <v>30 &lt;= 60 DIAS</v>
      </c>
      <c r="L410" s="7" t="str">
        <f>_xlfn.CONCAT(TEXT(MONTH(DATA[[#This Row],[FECHA DE VENCIMIENTO]]),"00"),"-",TEXT(DATA[[#This Row],[FECHA DE VENCIMIENTO]],"MMM"))</f>
        <v>10-Oct</v>
      </c>
    </row>
    <row r="411" spans="1:12" hidden="1" x14ac:dyDescent="0.3">
      <c r="A411" s="3">
        <v>44834</v>
      </c>
      <c r="B411" s="3">
        <v>44864</v>
      </c>
      <c r="C411" s="4">
        <f t="shared" si="12"/>
        <v>46</v>
      </c>
      <c r="D411" s="5" t="s">
        <v>1153</v>
      </c>
      <c r="E411" s="5">
        <v>10452534288</v>
      </c>
      <c r="F411" s="5" t="s">
        <v>1152</v>
      </c>
      <c r="G411" s="5" t="s">
        <v>33</v>
      </c>
      <c r="H411" s="5" t="s">
        <v>29</v>
      </c>
      <c r="I411" s="31">
        <v>0</v>
      </c>
      <c r="J411" s="31">
        <v>1144.5999999999999</v>
      </c>
      <c r="K411" s="6" t="str">
        <f t="shared" si="13"/>
        <v>30 &lt;= 60 DIAS</v>
      </c>
      <c r="L411" s="7" t="str">
        <f>_xlfn.CONCAT(TEXT(MONTH(DATA[[#This Row],[FECHA DE VENCIMIENTO]]),"00"),"-",TEXT(DATA[[#This Row],[FECHA DE VENCIMIENTO]],"MMM"))</f>
        <v>10-Oct</v>
      </c>
    </row>
    <row r="412" spans="1:12" x14ac:dyDescent="0.3">
      <c r="A412" s="3">
        <v>44834</v>
      </c>
      <c r="B412" s="3">
        <v>44864</v>
      </c>
      <c r="C412" s="4">
        <f t="shared" si="12"/>
        <v>46</v>
      </c>
      <c r="D412" s="5" t="s">
        <v>1154</v>
      </c>
      <c r="E412" s="5">
        <v>10452534288</v>
      </c>
      <c r="F412" s="5" t="s">
        <v>1152</v>
      </c>
      <c r="G412" s="5" t="s">
        <v>33</v>
      </c>
      <c r="H412" s="5" t="s">
        <v>7</v>
      </c>
      <c r="I412" s="31">
        <v>3894</v>
      </c>
      <c r="J412" s="31">
        <v>0</v>
      </c>
      <c r="K412" s="6" t="str">
        <f t="shared" si="13"/>
        <v>30 &lt;= 60 DIAS</v>
      </c>
      <c r="L412" s="7" t="str">
        <f>_xlfn.CONCAT(TEXT(MONTH(DATA[[#This Row],[FECHA DE VENCIMIENTO]]),"00"),"-",TEXT(DATA[[#This Row],[FECHA DE VENCIMIENTO]],"MMM"))</f>
        <v>10-Oct</v>
      </c>
    </row>
    <row r="413" spans="1:12" hidden="1" x14ac:dyDescent="0.3">
      <c r="A413" s="3">
        <v>44806</v>
      </c>
      <c r="B413" s="3">
        <v>44866</v>
      </c>
      <c r="C413" s="4">
        <f t="shared" si="12"/>
        <v>44</v>
      </c>
      <c r="D413" s="5" t="s">
        <v>524</v>
      </c>
      <c r="E413" s="5">
        <v>20320731314</v>
      </c>
      <c r="F413" s="5" t="s">
        <v>331</v>
      </c>
      <c r="G413" s="5" t="s">
        <v>16</v>
      </c>
      <c r="H413" s="5" t="s">
        <v>29</v>
      </c>
      <c r="I413" s="31">
        <v>0</v>
      </c>
      <c r="J413" s="31">
        <v>8477.1200000000008</v>
      </c>
      <c r="K413" s="6" t="str">
        <f t="shared" si="13"/>
        <v>30 &lt;= 60 DIAS</v>
      </c>
      <c r="L413" s="7" t="str">
        <f>_xlfn.CONCAT(TEXT(MONTH(DATA[[#This Row],[FECHA DE VENCIMIENTO]]),"00"),"-",TEXT(DATA[[#This Row],[FECHA DE VENCIMIENTO]],"MMM"))</f>
        <v>11-Nov</v>
      </c>
    </row>
    <row r="414" spans="1:12" x14ac:dyDescent="0.3">
      <c r="A414" s="3">
        <v>44806</v>
      </c>
      <c r="B414" s="3">
        <v>44866</v>
      </c>
      <c r="C414" s="4">
        <f t="shared" si="12"/>
        <v>44</v>
      </c>
      <c r="D414" s="5" t="s">
        <v>703</v>
      </c>
      <c r="E414" s="5">
        <v>20132373958</v>
      </c>
      <c r="F414" s="5" t="s">
        <v>697</v>
      </c>
      <c r="G414" s="5" t="s">
        <v>58</v>
      </c>
      <c r="H414" s="5" t="s">
        <v>7</v>
      </c>
      <c r="I414" s="31">
        <v>5992.87</v>
      </c>
      <c r="J414" s="31">
        <v>0</v>
      </c>
      <c r="K414" s="6" t="str">
        <f t="shared" si="13"/>
        <v>30 &lt;= 60 DIAS</v>
      </c>
      <c r="L414" s="7" t="str">
        <f>_xlfn.CONCAT(TEXT(MONTH(DATA[[#This Row],[FECHA DE VENCIMIENTO]]),"00"),"-",TEXT(DATA[[#This Row],[FECHA DE VENCIMIENTO]],"MMM"))</f>
        <v>11-Nov</v>
      </c>
    </row>
    <row r="415" spans="1:12" x14ac:dyDescent="0.3">
      <c r="A415" s="3">
        <v>44806</v>
      </c>
      <c r="B415" s="3">
        <v>44866</v>
      </c>
      <c r="C415" s="4">
        <f t="shared" si="12"/>
        <v>44</v>
      </c>
      <c r="D415" s="5" t="s">
        <v>821</v>
      </c>
      <c r="E415" s="5">
        <v>20601830818</v>
      </c>
      <c r="F415" s="5" t="s">
        <v>301</v>
      </c>
      <c r="G415" s="5" t="s">
        <v>13</v>
      </c>
      <c r="H415" s="5" t="s">
        <v>7</v>
      </c>
      <c r="I415" s="31">
        <v>5605</v>
      </c>
      <c r="J415" s="31">
        <v>0</v>
      </c>
      <c r="K415" s="6" t="str">
        <f t="shared" si="13"/>
        <v>30 &lt;= 60 DIAS</v>
      </c>
      <c r="L415" s="7" t="str">
        <f>_xlfn.CONCAT(TEXT(MONTH(DATA[[#This Row],[FECHA DE VENCIMIENTO]]),"00"),"-",TEXT(DATA[[#This Row],[FECHA DE VENCIMIENTO]],"MMM"))</f>
        <v>11-Nov</v>
      </c>
    </row>
    <row r="416" spans="1:12" hidden="1" x14ac:dyDescent="0.3">
      <c r="A416" s="3">
        <v>44806</v>
      </c>
      <c r="B416" s="3">
        <v>44866</v>
      </c>
      <c r="C416" s="4">
        <f t="shared" si="12"/>
        <v>44</v>
      </c>
      <c r="D416" s="5" t="s">
        <v>824</v>
      </c>
      <c r="E416" s="5">
        <v>20601830818</v>
      </c>
      <c r="F416" s="5" t="s">
        <v>301</v>
      </c>
      <c r="G416" s="5" t="s">
        <v>13</v>
      </c>
      <c r="H416" s="5" t="s">
        <v>29</v>
      </c>
      <c r="I416" s="31">
        <v>0</v>
      </c>
      <c r="J416" s="31">
        <v>1224.8399999999999</v>
      </c>
      <c r="K416" s="6" t="str">
        <f t="shared" si="13"/>
        <v>30 &lt;= 60 DIAS</v>
      </c>
      <c r="L416" s="7" t="str">
        <f>_xlfn.CONCAT(TEXT(MONTH(DATA[[#This Row],[FECHA DE VENCIMIENTO]]),"00"),"-",TEXT(DATA[[#This Row],[FECHA DE VENCIMIENTO]],"MMM"))</f>
        <v>11-Nov</v>
      </c>
    </row>
    <row r="417" spans="1:12" x14ac:dyDescent="0.3">
      <c r="A417" s="3">
        <v>44806</v>
      </c>
      <c r="B417" s="3">
        <v>44866</v>
      </c>
      <c r="C417" s="4">
        <f t="shared" si="12"/>
        <v>44</v>
      </c>
      <c r="D417" s="5" t="s">
        <v>909</v>
      </c>
      <c r="E417" s="5">
        <v>20155261570</v>
      </c>
      <c r="F417" s="5" t="s">
        <v>355</v>
      </c>
      <c r="G417" s="5" t="s">
        <v>13</v>
      </c>
      <c r="H417" s="5" t="s">
        <v>7</v>
      </c>
      <c r="I417" s="31">
        <v>3285.12</v>
      </c>
      <c r="J417" s="31">
        <v>0</v>
      </c>
      <c r="K417" s="6" t="str">
        <f t="shared" si="13"/>
        <v>30 &lt;= 60 DIAS</v>
      </c>
      <c r="L417" s="7" t="str">
        <f>_xlfn.CONCAT(TEXT(MONTH(DATA[[#This Row],[FECHA DE VENCIMIENTO]]),"00"),"-",TEXT(DATA[[#This Row],[FECHA DE VENCIMIENTO]],"MMM"))</f>
        <v>11-Nov</v>
      </c>
    </row>
    <row r="418" spans="1:12" x14ac:dyDescent="0.3">
      <c r="A418" s="3">
        <v>44806</v>
      </c>
      <c r="B418" s="3">
        <v>44866</v>
      </c>
      <c r="C418" s="4">
        <f t="shared" si="12"/>
        <v>44</v>
      </c>
      <c r="D418" s="5" t="s">
        <v>910</v>
      </c>
      <c r="E418" s="5">
        <v>20155261570</v>
      </c>
      <c r="F418" s="5" t="s">
        <v>355</v>
      </c>
      <c r="G418" s="5" t="s">
        <v>13</v>
      </c>
      <c r="H418" s="5" t="s">
        <v>7</v>
      </c>
      <c r="I418" s="31">
        <v>15682.2</v>
      </c>
      <c r="J418" s="31">
        <v>0</v>
      </c>
      <c r="K418" s="6" t="str">
        <f t="shared" si="13"/>
        <v>30 &lt;= 60 DIAS</v>
      </c>
      <c r="L418" s="7" t="str">
        <f>_xlfn.CONCAT(TEXT(MONTH(DATA[[#This Row],[FECHA DE VENCIMIENTO]]),"00"),"-",TEXT(DATA[[#This Row],[FECHA DE VENCIMIENTO]],"MMM"))</f>
        <v>11-Nov</v>
      </c>
    </row>
    <row r="419" spans="1:12" hidden="1" x14ac:dyDescent="0.3">
      <c r="A419" s="3">
        <v>44837</v>
      </c>
      <c r="B419" s="3">
        <v>44867</v>
      </c>
      <c r="C419" s="4">
        <f t="shared" si="12"/>
        <v>43</v>
      </c>
      <c r="D419" s="5" t="s">
        <v>457</v>
      </c>
      <c r="E419" s="5">
        <v>20108917521</v>
      </c>
      <c r="F419" s="5" t="s">
        <v>384</v>
      </c>
      <c r="G419" s="5" t="s">
        <v>16</v>
      </c>
      <c r="H419" s="5" t="s">
        <v>29</v>
      </c>
      <c r="I419" s="31">
        <v>0</v>
      </c>
      <c r="J419" s="31">
        <v>541.76</v>
      </c>
      <c r="K419" s="6" t="str">
        <f t="shared" si="13"/>
        <v>30 &lt;= 60 DIAS</v>
      </c>
      <c r="L419" s="7" t="str">
        <f>_xlfn.CONCAT(TEXT(MONTH(DATA[[#This Row],[FECHA DE VENCIMIENTO]]),"00"),"-",TEXT(DATA[[#This Row],[FECHA DE VENCIMIENTO]],"MMM"))</f>
        <v>11-Nov</v>
      </c>
    </row>
    <row r="420" spans="1:12" x14ac:dyDescent="0.3">
      <c r="A420" s="3">
        <v>44867</v>
      </c>
      <c r="B420" s="3">
        <v>44867</v>
      </c>
      <c r="C420" s="4">
        <f t="shared" si="12"/>
        <v>43</v>
      </c>
      <c r="D420" s="5" t="s">
        <v>804</v>
      </c>
      <c r="E420" s="5">
        <v>20518075617</v>
      </c>
      <c r="F420" s="5" t="s">
        <v>805</v>
      </c>
      <c r="G420" s="5" t="s">
        <v>26</v>
      </c>
      <c r="H420" s="5" t="s">
        <v>7</v>
      </c>
      <c r="I420" s="31">
        <v>113.28</v>
      </c>
      <c r="J420" s="31">
        <v>0</v>
      </c>
      <c r="K420" s="6" t="str">
        <f t="shared" si="13"/>
        <v>30 &lt;= 60 DIAS</v>
      </c>
      <c r="L420" s="7" t="str">
        <f>_xlfn.CONCAT(TEXT(MONTH(DATA[[#This Row],[FECHA DE VENCIMIENTO]]),"00"),"-",TEXT(DATA[[#This Row],[FECHA DE VENCIMIENTO]],"MMM"))</f>
        <v>11-Nov</v>
      </c>
    </row>
    <row r="421" spans="1:12" hidden="1" x14ac:dyDescent="0.3">
      <c r="A421" s="3">
        <v>44837</v>
      </c>
      <c r="B421" s="3">
        <v>44867</v>
      </c>
      <c r="C421" s="4">
        <f t="shared" si="12"/>
        <v>43</v>
      </c>
      <c r="D421" s="5" t="s">
        <v>849</v>
      </c>
      <c r="E421" s="5">
        <v>20482469079</v>
      </c>
      <c r="F421" s="5" t="s">
        <v>850</v>
      </c>
      <c r="G421" s="5" t="s">
        <v>58</v>
      </c>
      <c r="H421" s="5" t="s">
        <v>29</v>
      </c>
      <c r="I421" s="31">
        <v>0</v>
      </c>
      <c r="J421" s="31">
        <v>169.92</v>
      </c>
      <c r="K421" s="6" t="str">
        <f t="shared" si="13"/>
        <v>30 &lt;= 60 DIAS</v>
      </c>
      <c r="L421" s="7" t="str">
        <f>_xlfn.CONCAT(TEXT(MONTH(DATA[[#This Row],[FECHA DE VENCIMIENTO]]),"00"),"-",TEXT(DATA[[#This Row],[FECHA DE VENCIMIENTO]],"MMM"))</f>
        <v>11-Nov</v>
      </c>
    </row>
    <row r="422" spans="1:12" x14ac:dyDescent="0.3">
      <c r="A422" s="3">
        <v>44837</v>
      </c>
      <c r="B422" s="3">
        <v>44867</v>
      </c>
      <c r="C422" s="4">
        <f t="shared" si="12"/>
        <v>43</v>
      </c>
      <c r="D422" s="5" t="s">
        <v>947</v>
      </c>
      <c r="E422" s="5">
        <v>20455732574</v>
      </c>
      <c r="F422" s="5" t="s">
        <v>351</v>
      </c>
      <c r="G422" s="5" t="s">
        <v>33</v>
      </c>
      <c r="H422" s="5" t="s">
        <v>7</v>
      </c>
      <c r="I422" s="31">
        <v>2425.23</v>
      </c>
      <c r="J422" s="31">
        <v>0</v>
      </c>
      <c r="K422" s="6" t="str">
        <f t="shared" si="13"/>
        <v>30 &lt;= 60 DIAS</v>
      </c>
      <c r="L422" s="7" t="str">
        <f>_xlfn.CONCAT(TEXT(MONTH(DATA[[#This Row],[FECHA DE VENCIMIENTO]]),"00"),"-",TEXT(DATA[[#This Row],[FECHA DE VENCIMIENTO]],"MMM"))</f>
        <v>11-Nov</v>
      </c>
    </row>
    <row r="423" spans="1:12" hidden="1" x14ac:dyDescent="0.3">
      <c r="A423" s="3">
        <v>44837</v>
      </c>
      <c r="B423" s="3">
        <v>44867</v>
      </c>
      <c r="C423" s="4">
        <f t="shared" si="12"/>
        <v>43</v>
      </c>
      <c r="D423" s="5" t="s">
        <v>1080</v>
      </c>
      <c r="E423" s="5">
        <v>10429225413</v>
      </c>
      <c r="F423" s="5" t="s">
        <v>1079</v>
      </c>
      <c r="G423" s="5" t="s">
        <v>16</v>
      </c>
      <c r="H423" s="5" t="s">
        <v>29</v>
      </c>
      <c r="I423" s="31">
        <v>0</v>
      </c>
      <c r="J423" s="31">
        <v>493.15</v>
      </c>
      <c r="K423" s="6" t="str">
        <f t="shared" si="13"/>
        <v>30 &lt;= 60 DIAS</v>
      </c>
      <c r="L423" s="7" t="str">
        <f>_xlfn.CONCAT(TEXT(MONTH(DATA[[#This Row],[FECHA DE VENCIMIENTO]]),"00"),"-",TEXT(DATA[[#This Row],[FECHA DE VENCIMIENTO]],"MMM"))</f>
        <v>11-Nov</v>
      </c>
    </row>
    <row r="424" spans="1:12" x14ac:dyDescent="0.3">
      <c r="A424" s="3">
        <v>44838</v>
      </c>
      <c r="B424" s="3">
        <v>44868</v>
      </c>
      <c r="C424" s="4">
        <f t="shared" si="12"/>
        <v>42</v>
      </c>
      <c r="D424" s="5" t="s">
        <v>671</v>
      </c>
      <c r="E424" s="5">
        <v>20601908701</v>
      </c>
      <c r="F424" s="5" t="s">
        <v>672</v>
      </c>
      <c r="G424" s="5" t="s">
        <v>13</v>
      </c>
      <c r="H424" s="5" t="s">
        <v>7</v>
      </c>
      <c r="I424" s="31">
        <v>2438.46</v>
      </c>
      <c r="J424" s="31">
        <v>0</v>
      </c>
      <c r="K424" s="6" t="str">
        <f t="shared" si="13"/>
        <v>30 &lt;= 60 DIAS</v>
      </c>
      <c r="L424" s="7" t="str">
        <f>_xlfn.CONCAT(TEXT(MONTH(DATA[[#This Row],[FECHA DE VENCIMIENTO]]),"00"),"-",TEXT(DATA[[#This Row],[FECHA DE VENCIMIENTO]],"MMM"))</f>
        <v>11-Nov</v>
      </c>
    </row>
    <row r="425" spans="1:12" x14ac:dyDescent="0.3">
      <c r="A425" s="3">
        <v>44868</v>
      </c>
      <c r="B425" s="3">
        <v>44868</v>
      </c>
      <c r="C425" s="4">
        <f t="shared" si="12"/>
        <v>42</v>
      </c>
      <c r="D425" s="5" t="s">
        <v>991</v>
      </c>
      <c r="E425" s="5">
        <v>20606113758</v>
      </c>
      <c r="F425" s="5" t="s">
        <v>174</v>
      </c>
      <c r="G425" s="5" t="s">
        <v>13</v>
      </c>
      <c r="H425" s="5" t="s">
        <v>7</v>
      </c>
      <c r="I425" s="31">
        <v>3481.09</v>
      </c>
      <c r="J425" s="31">
        <v>0</v>
      </c>
      <c r="K425" s="6" t="str">
        <f t="shared" si="13"/>
        <v>30 &lt;= 60 DIAS</v>
      </c>
      <c r="L425" s="7" t="str">
        <f>_xlfn.CONCAT(TEXT(MONTH(DATA[[#This Row],[FECHA DE VENCIMIENTO]]),"00"),"-",TEXT(DATA[[#This Row],[FECHA DE VENCIMIENTO]],"MMM"))</f>
        <v>11-Nov</v>
      </c>
    </row>
    <row r="426" spans="1:12" hidden="1" x14ac:dyDescent="0.3">
      <c r="A426" s="3">
        <v>44869</v>
      </c>
      <c r="B426" s="3">
        <v>44869</v>
      </c>
      <c r="C426" s="4">
        <f t="shared" si="12"/>
        <v>41</v>
      </c>
      <c r="D426" s="5" t="s">
        <v>571</v>
      </c>
      <c r="E426" s="5">
        <v>20481887705</v>
      </c>
      <c r="F426" s="5" t="s">
        <v>572</v>
      </c>
      <c r="G426" s="5" t="s">
        <v>58</v>
      </c>
      <c r="H426" s="5" t="s">
        <v>29</v>
      </c>
      <c r="I426" s="31">
        <v>0</v>
      </c>
      <c r="J426" s="31">
        <v>401.2</v>
      </c>
      <c r="K426" s="6" t="str">
        <f t="shared" si="13"/>
        <v>30 &lt;= 60 DIAS</v>
      </c>
      <c r="L426" s="7" t="str">
        <f>_xlfn.CONCAT(TEXT(MONTH(DATA[[#This Row],[FECHA DE VENCIMIENTO]]),"00"),"-",TEXT(DATA[[#This Row],[FECHA DE VENCIMIENTO]],"MMM"))</f>
        <v>11-Nov</v>
      </c>
    </row>
    <row r="427" spans="1:12" x14ac:dyDescent="0.3">
      <c r="A427" s="3">
        <v>44817</v>
      </c>
      <c r="B427" s="3">
        <v>44869</v>
      </c>
      <c r="C427" s="4">
        <f t="shared" si="12"/>
        <v>41</v>
      </c>
      <c r="D427" s="5" t="s">
        <v>906</v>
      </c>
      <c r="E427" s="5">
        <v>20155261570</v>
      </c>
      <c r="F427" s="5" t="s">
        <v>355</v>
      </c>
      <c r="G427" s="5" t="s">
        <v>13</v>
      </c>
      <c r="H427" s="5" t="s">
        <v>7</v>
      </c>
      <c r="I427" s="31">
        <v>1640.2</v>
      </c>
      <c r="J427" s="31">
        <v>0</v>
      </c>
      <c r="K427" s="6" t="str">
        <f t="shared" si="13"/>
        <v>30 &lt;= 60 DIAS</v>
      </c>
      <c r="L427" s="7" t="str">
        <f>_xlfn.CONCAT(TEXT(MONTH(DATA[[#This Row],[FECHA DE VENCIMIENTO]]),"00"),"-",TEXT(DATA[[#This Row],[FECHA DE VENCIMIENTO]],"MMM"))</f>
        <v>11-Nov</v>
      </c>
    </row>
    <row r="428" spans="1:12" x14ac:dyDescent="0.3">
      <c r="A428" s="3">
        <v>44840</v>
      </c>
      <c r="B428" s="3">
        <v>44870</v>
      </c>
      <c r="C428" s="4">
        <f t="shared" si="12"/>
        <v>40</v>
      </c>
      <c r="D428" s="5" t="s">
        <v>996</v>
      </c>
      <c r="E428" s="5">
        <v>20606113758</v>
      </c>
      <c r="F428" s="5" t="s">
        <v>174</v>
      </c>
      <c r="G428" s="5" t="s">
        <v>13</v>
      </c>
      <c r="H428" s="5" t="s">
        <v>7</v>
      </c>
      <c r="I428" s="31">
        <v>239.78</v>
      </c>
      <c r="J428" s="31">
        <v>0</v>
      </c>
      <c r="K428" s="6" t="str">
        <f t="shared" si="13"/>
        <v>30 &lt;= 60 DIAS</v>
      </c>
      <c r="L428" s="7" t="str">
        <f>_xlfn.CONCAT(TEXT(MONTH(DATA[[#This Row],[FECHA DE VENCIMIENTO]]),"00"),"-",TEXT(DATA[[#This Row],[FECHA DE VENCIMIENTO]],"MMM"))</f>
        <v>11-Nov</v>
      </c>
    </row>
    <row r="429" spans="1:12" ht="31.2" x14ac:dyDescent="0.3">
      <c r="A429" s="3">
        <v>44826</v>
      </c>
      <c r="B429" s="3">
        <v>44871</v>
      </c>
      <c r="C429" s="4">
        <f t="shared" si="12"/>
        <v>39</v>
      </c>
      <c r="D429" s="5" t="s">
        <v>469</v>
      </c>
      <c r="E429" s="5">
        <v>20542356317</v>
      </c>
      <c r="F429" s="5" t="s">
        <v>389</v>
      </c>
      <c r="G429" s="5" t="s">
        <v>46</v>
      </c>
      <c r="H429" s="5" t="s">
        <v>7</v>
      </c>
      <c r="I429" s="31">
        <v>9086</v>
      </c>
      <c r="J429" s="31">
        <v>0</v>
      </c>
      <c r="K429" s="6" t="str">
        <f t="shared" si="13"/>
        <v>30 &lt;= 60 DIAS</v>
      </c>
      <c r="L429" s="7" t="str">
        <f>_xlfn.CONCAT(TEXT(MONTH(DATA[[#This Row],[FECHA DE VENCIMIENTO]]),"00"),"-",TEXT(DATA[[#This Row],[FECHA DE VENCIMIENTO]],"MMM"))</f>
        <v>11-Nov</v>
      </c>
    </row>
    <row r="430" spans="1:12" ht="31.2" x14ac:dyDescent="0.3">
      <c r="A430" s="3">
        <v>44816</v>
      </c>
      <c r="B430" s="3">
        <v>44871</v>
      </c>
      <c r="C430" s="4">
        <f t="shared" si="12"/>
        <v>39</v>
      </c>
      <c r="D430" s="5" t="s">
        <v>762</v>
      </c>
      <c r="E430" s="5">
        <v>20494022797</v>
      </c>
      <c r="F430" s="5" t="s">
        <v>377</v>
      </c>
      <c r="G430" s="5" t="s">
        <v>46</v>
      </c>
      <c r="H430" s="5" t="s">
        <v>7</v>
      </c>
      <c r="I430" s="31">
        <v>28557.09</v>
      </c>
      <c r="J430" s="31">
        <v>0</v>
      </c>
      <c r="K430" s="6" t="str">
        <f t="shared" si="13"/>
        <v>30 &lt;= 60 DIAS</v>
      </c>
      <c r="L430" s="7" t="str">
        <f>_xlfn.CONCAT(TEXT(MONTH(DATA[[#This Row],[FECHA DE VENCIMIENTO]]),"00"),"-",TEXT(DATA[[#This Row],[FECHA DE VENCIMIENTO]],"MMM"))</f>
        <v>11-Nov</v>
      </c>
    </row>
    <row r="431" spans="1:12" x14ac:dyDescent="0.3">
      <c r="A431" s="3">
        <v>44812</v>
      </c>
      <c r="B431" s="3">
        <v>44872</v>
      </c>
      <c r="C431" s="4">
        <f t="shared" si="12"/>
        <v>38</v>
      </c>
      <c r="D431" s="5" t="s">
        <v>819</v>
      </c>
      <c r="E431" s="5">
        <v>20601830818</v>
      </c>
      <c r="F431" s="5" t="s">
        <v>301</v>
      </c>
      <c r="G431" s="5" t="s">
        <v>13</v>
      </c>
      <c r="H431" s="5" t="s">
        <v>7</v>
      </c>
      <c r="I431" s="31">
        <v>5793.8</v>
      </c>
      <c r="J431" s="31">
        <v>0</v>
      </c>
      <c r="K431" s="6" t="str">
        <f t="shared" si="13"/>
        <v>30 &lt;= 60 DIAS</v>
      </c>
      <c r="L431" s="7" t="str">
        <f>_xlfn.CONCAT(TEXT(MONTH(DATA[[#This Row],[FECHA DE VENCIMIENTO]]),"00"),"-",TEXT(DATA[[#This Row],[FECHA DE VENCIMIENTO]],"MMM"))</f>
        <v>11-Nov</v>
      </c>
    </row>
    <row r="432" spans="1:12" x14ac:dyDescent="0.3">
      <c r="A432" s="3">
        <v>44812</v>
      </c>
      <c r="B432" s="3">
        <v>44872</v>
      </c>
      <c r="C432" s="4">
        <f t="shared" si="12"/>
        <v>38</v>
      </c>
      <c r="D432" s="5" t="s">
        <v>820</v>
      </c>
      <c r="E432" s="5">
        <v>20601830818</v>
      </c>
      <c r="F432" s="5" t="s">
        <v>301</v>
      </c>
      <c r="G432" s="5" t="s">
        <v>13</v>
      </c>
      <c r="H432" s="5" t="s">
        <v>7</v>
      </c>
      <c r="I432" s="31">
        <v>8161.59</v>
      </c>
      <c r="J432" s="31">
        <v>0</v>
      </c>
      <c r="K432" s="6" t="str">
        <f t="shared" si="13"/>
        <v>30 &lt;= 60 DIAS</v>
      </c>
      <c r="L432" s="7" t="str">
        <f>_xlfn.CONCAT(TEXT(MONTH(DATA[[#This Row],[FECHA DE VENCIMIENTO]]),"00"),"-",TEXT(DATA[[#This Row],[FECHA DE VENCIMIENTO]],"MMM"))</f>
        <v>11-Nov</v>
      </c>
    </row>
    <row r="433" spans="1:12" x14ac:dyDescent="0.3">
      <c r="A433" s="3">
        <v>44872</v>
      </c>
      <c r="B433" s="3">
        <v>44872</v>
      </c>
      <c r="C433" s="4">
        <f t="shared" si="12"/>
        <v>38</v>
      </c>
      <c r="D433" s="5" t="s">
        <v>923</v>
      </c>
      <c r="E433" s="5">
        <v>20538241378</v>
      </c>
      <c r="F433" s="5" t="s">
        <v>236</v>
      </c>
      <c r="G433" s="5" t="s">
        <v>13</v>
      </c>
      <c r="H433" s="5" t="s">
        <v>7</v>
      </c>
      <c r="I433" s="31">
        <v>2185.9499999999998</v>
      </c>
      <c r="J433" s="31">
        <v>0</v>
      </c>
      <c r="K433" s="6" t="str">
        <f t="shared" si="13"/>
        <v>30 &lt;= 60 DIAS</v>
      </c>
      <c r="L433" s="7" t="str">
        <f>_xlfn.CONCAT(TEXT(MONTH(DATA[[#This Row],[FECHA DE VENCIMIENTO]]),"00"),"-",TEXT(DATA[[#This Row],[FECHA DE VENCIMIENTO]],"MMM"))</f>
        <v>11-Nov</v>
      </c>
    </row>
    <row r="434" spans="1:12" x14ac:dyDescent="0.3">
      <c r="A434" s="3">
        <v>44827</v>
      </c>
      <c r="B434" s="3">
        <v>44872</v>
      </c>
      <c r="C434" s="4">
        <f t="shared" si="12"/>
        <v>38</v>
      </c>
      <c r="D434" s="5" t="s">
        <v>1184</v>
      </c>
      <c r="E434" s="5">
        <v>20563716569</v>
      </c>
      <c r="F434" s="5" t="s">
        <v>1182</v>
      </c>
      <c r="G434" s="5" t="s">
        <v>33</v>
      </c>
      <c r="H434" s="5" t="s">
        <v>7</v>
      </c>
      <c r="I434" s="31">
        <v>21210.69</v>
      </c>
      <c r="J434" s="31">
        <v>0</v>
      </c>
      <c r="K434" s="6" t="str">
        <f t="shared" si="13"/>
        <v>30 &lt;= 60 DIAS</v>
      </c>
      <c r="L434" s="7" t="str">
        <f>_xlfn.CONCAT(TEXT(MONTH(DATA[[#This Row],[FECHA DE VENCIMIENTO]]),"00"),"-",TEXT(DATA[[#This Row],[FECHA DE VENCIMIENTO]],"MMM"))</f>
        <v>11-Nov</v>
      </c>
    </row>
    <row r="435" spans="1:12" x14ac:dyDescent="0.3">
      <c r="A435" s="3">
        <v>44753</v>
      </c>
      <c r="B435" s="3">
        <v>44873</v>
      </c>
      <c r="C435" s="4">
        <f t="shared" si="12"/>
        <v>37</v>
      </c>
      <c r="D435" s="5" t="s">
        <v>1236</v>
      </c>
      <c r="E435" s="5">
        <v>20100154308</v>
      </c>
      <c r="F435" s="5" t="s">
        <v>1217</v>
      </c>
      <c r="G435" s="5" t="s">
        <v>16</v>
      </c>
      <c r="H435" s="5" t="s">
        <v>7</v>
      </c>
      <c r="I435" s="31">
        <v>2655</v>
      </c>
      <c r="J435" s="31">
        <v>0</v>
      </c>
      <c r="K435" s="6" t="str">
        <f t="shared" si="13"/>
        <v>30 &lt;= 60 DIAS</v>
      </c>
      <c r="L435" s="7" t="str">
        <f>_xlfn.CONCAT(TEXT(MONTH(DATA[[#This Row],[FECHA DE VENCIMIENTO]]),"00"),"-",TEXT(DATA[[#This Row],[FECHA DE VENCIMIENTO]],"MMM"))</f>
        <v>11-Nov</v>
      </c>
    </row>
    <row r="436" spans="1:12" x14ac:dyDescent="0.3">
      <c r="A436" s="3">
        <v>44753</v>
      </c>
      <c r="B436" s="3">
        <v>44873</v>
      </c>
      <c r="C436" s="4">
        <f t="shared" si="12"/>
        <v>37</v>
      </c>
      <c r="D436" s="5" t="s">
        <v>1237</v>
      </c>
      <c r="E436" s="5">
        <v>20100154308</v>
      </c>
      <c r="F436" s="5" t="s">
        <v>1217</v>
      </c>
      <c r="G436" s="5" t="s">
        <v>16</v>
      </c>
      <c r="H436" s="5" t="s">
        <v>7</v>
      </c>
      <c r="I436" s="31">
        <v>10358.040000000001</v>
      </c>
      <c r="J436" s="31">
        <v>0</v>
      </c>
      <c r="K436" s="6" t="str">
        <f t="shared" si="13"/>
        <v>30 &lt;= 60 DIAS</v>
      </c>
      <c r="L436" s="7" t="str">
        <f>_xlfn.CONCAT(TEXT(MONTH(DATA[[#This Row],[FECHA DE VENCIMIENTO]]),"00"),"-",TEXT(DATA[[#This Row],[FECHA DE VENCIMIENTO]],"MMM"))</f>
        <v>11-Nov</v>
      </c>
    </row>
    <row r="437" spans="1:12" x14ac:dyDescent="0.3">
      <c r="A437" s="3">
        <v>44753</v>
      </c>
      <c r="B437" s="3">
        <v>44873</v>
      </c>
      <c r="C437" s="4">
        <f t="shared" si="12"/>
        <v>37</v>
      </c>
      <c r="D437" s="5" t="s">
        <v>1238</v>
      </c>
      <c r="E437" s="5">
        <v>20100154308</v>
      </c>
      <c r="F437" s="5" t="s">
        <v>1217</v>
      </c>
      <c r="G437" s="5" t="s">
        <v>16</v>
      </c>
      <c r="H437" s="5" t="s">
        <v>7</v>
      </c>
      <c r="I437" s="31">
        <v>21211.68</v>
      </c>
      <c r="J437" s="31">
        <v>0</v>
      </c>
      <c r="K437" s="6" t="str">
        <f t="shared" si="13"/>
        <v>30 &lt;= 60 DIAS</v>
      </c>
      <c r="L437" s="7" t="str">
        <f>_xlfn.CONCAT(TEXT(MONTH(DATA[[#This Row],[FECHA DE VENCIMIENTO]]),"00"),"-",TEXT(DATA[[#This Row],[FECHA DE VENCIMIENTO]],"MMM"))</f>
        <v>11-Nov</v>
      </c>
    </row>
    <row r="438" spans="1:12" x14ac:dyDescent="0.3">
      <c r="A438" s="3">
        <v>44844</v>
      </c>
      <c r="B438" s="3">
        <v>44874</v>
      </c>
      <c r="C438" s="4">
        <f t="shared" si="12"/>
        <v>36</v>
      </c>
      <c r="D438" s="5" t="s">
        <v>961</v>
      </c>
      <c r="E438" s="5">
        <v>20534627310</v>
      </c>
      <c r="F438" s="5" t="s">
        <v>957</v>
      </c>
      <c r="G438" s="5" t="s">
        <v>13</v>
      </c>
      <c r="H438" s="5" t="s">
        <v>7</v>
      </c>
      <c r="I438" s="31">
        <v>4672.8</v>
      </c>
      <c r="J438" s="31">
        <v>0</v>
      </c>
      <c r="K438" s="6" t="str">
        <f t="shared" si="13"/>
        <v>30 &lt;= 60 DIAS</v>
      </c>
      <c r="L438" s="7" t="str">
        <f>_xlfn.CONCAT(TEXT(MONTH(DATA[[#This Row],[FECHA DE VENCIMIENTO]]),"00"),"-",TEXT(DATA[[#This Row],[FECHA DE VENCIMIENTO]],"MMM"))</f>
        <v>11-Nov</v>
      </c>
    </row>
    <row r="439" spans="1:12" x14ac:dyDescent="0.3">
      <c r="A439" s="3">
        <v>44846</v>
      </c>
      <c r="B439" s="3">
        <v>44876</v>
      </c>
      <c r="C439" s="4">
        <f t="shared" si="12"/>
        <v>34</v>
      </c>
      <c r="D439" s="5" t="s">
        <v>646</v>
      </c>
      <c r="E439" s="5">
        <v>20609990032</v>
      </c>
      <c r="F439" s="5" t="s">
        <v>647</v>
      </c>
      <c r="G439" s="5" t="s">
        <v>58</v>
      </c>
      <c r="H439" s="5" t="s">
        <v>7</v>
      </c>
      <c r="I439" s="31">
        <v>2832</v>
      </c>
      <c r="J439" s="31">
        <v>0</v>
      </c>
      <c r="K439" s="6" t="str">
        <f t="shared" si="13"/>
        <v>30 &lt;= 60 DIAS</v>
      </c>
      <c r="L439" s="7" t="str">
        <f>_xlfn.CONCAT(TEXT(MONTH(DATA[[#This Row],[FECHA DE VENCIMIENTO]]),"00"),"-",TEXT(DATA[[#This Row],[FECHA DE VENCIMIENTO]],"MMM"))</f>
        <v>11-Nov</v>
      </c>
    </row>
    <row r="440" spans="1:12" hidden="1" x14ac:dyDescent="0.3">
      <c r="A440" s="3">
        <v>44816</v>
      </c>
      <c r="B440" s="3">
        <v>44876</v>
      </c>
      <c r="C440" s="4">
        <f t="shared" si="12"/>
        <v>34</v>
      </c>
      <c r="D440" s="5" t="s">
        <v>739</v>
      </c>
      <c r="E440" s="5">
        <v>20506421781</v>
      </c>
      <c r="F440" s="5" t="s">
        <v>735</v>
      </c>
      <c r="G440" s="5" t="s">
        <v>33</v>
      </c>
      <c r="H440" s="5" t="s">
        <v>29</v>
      </c>
      <c r="I440" s="31">
        <v>0</v>
      </c>
      <c r="J440" s="31">
        <v>200.6</v>
      </c>
      <c r="K440" s="6" t="str">
        <f t="shared" si="13"/>
        <v>30 &lt;= 60 DIAS</v>
      </c>
      <c r="L440" s="7" t="str">
        <f>_xlfn.CONCAT(TEXT(MONTH(DATA[[#This Row],[FECHA DE VENCIMIENTO]]),"00"),"-",TEXT(DATA[[#This Row],[FECHA DE VENCIMIENTO]],"MMM"))</f>
        <v>11-Nov</v>
      </c>
    </row>
    <row r="441" spans="1:12" x14ac:dyDescent="0.3">
      <c r="A441" s="3">
        <v>44846</v>
      </c>
      <c r="B441" s="3">
        <v>44876</v>
      </c>
      <c r="C441" s="4">
        <f t="shared" si="12"/>
        <v>34</v>
      </c>
      <c r="D441" s="5" t="s">
        <v>915</v>
      </c>
      <c r="E441" s="5">
        <v>20538241378</v>
      </c>
      <c r="F441" s="5" t="s">
        <v>236</v>
      </c>
      <c r="G441" s="5" t="s">
        <v>13</v>
      </c>
      <c r="H441" s="5" t="s">
        <v>7</v>
      </c>
      <c r="I441" s="31">
        <v>9156.1299999999992</v>
      </c>
      <c r="J441" s="31">
        <v>0</v>
      </c>
      <c r="K441" s="6" t="str">
        <f t="shared" si="13"/>
        <v>30 &lt;= 60 DIAS</v>
      </c>
      <c r="L441" s="7" t="str">
        <f>_xlfn.CONCAT(TEXT(MONTH(DATA[[#This Row],[FECHA DE VENCIMIENTO]]),"00"),"-",TEXT(DATA[[#This Row],[FECHA DE VENCIMIENTO]],"MMM"))</f>
        <v>11-Nov</v>
      </c>
    </row>
    <row r="442" spans="1:12" x14ac:dyDescent="0.3">
      <c r="A442" s="3">
        <v>44846</v>
      </c>
      <c r="B442" s="3">
        <v>44876</v>
      </c>
      <c r="C442" s="4">
        <f t="shared" si="12"/>
        <v>34</v>
      </c>
      <c r="D442" s="5" t="s">
        <v>924</v>
      </c>
      <c r="E442" s="5">
        <v>20606753820</v>
      </c>
      <c r="F442" s="5" t="s">
        <v>925</v>
      </c>
      <c r="G442" s="5" t="s">
        <v>33</v>
      </c>
      <c r="H442" s="5" t="s">
        <v>7</v>
      </c>
      <c r="I442" s="31">
        <v>1484.03</v>
      </c>
      <c r="J442" s="31">
        <v>0</v>
      </c>
      <c r="K442" s="6" t="str">
        <f t="shared" si="13"/>
        <v>30 &lt;= 60 DIAS</v>
      </c>
      <c r="L442" s="7" t="str">
        <f>_xlfn.CONCAT(TEXT(MONTH(DATA[[#This Row],[FECHA DE VENCIMIENTO]]),"00"),"-",TEXT(DATA[[#This Row],[FECHA DE VENCIMIENTO]],"MMM"))</f>
        <v>11-Nov</v>
      </c>
    </row>
    <row r="443" spans="1:12" hidden="1" x14ac:dyDescent="0.3">
      <c r="A443" s="3">
        <v>44831</v>
      </c>
      <c r="B443" s="3">
        <v>44876</v>
      </c>
      <c r="C443" s="4">
        <f t="shared" si="12"/>
        <v>34</v>
      </c>
      <c r="D443" s="5" t="s">
        <v>1136</v>
      </c>
      <c r="E443" s="5">
        <v>20603042612</v>
      </c>
      <c r="F443" s="5" t="s">
        <v>1137</v>
      </c>
      <c r="G443" s="5" t="s">
        <v>33</v>
      </c>
      <c r="H443" s="5" t="s">
        <v>29</v>
      </c>
      <c r="I443" s="31">
        <v>0</v>
      </c>
      <c r="J443" s="31">
        <v>415.36</v>
      </c>
      <c r="K443" s="6" t="str">
        <f t="shared" si="13"/>
        <v>30 &lt;= 60 DIAS</v>
      </c>
      <c r="L443" s="7" t="str">
        <f>_xlfn.CONCAT(TEXT(MONTH(DATA[[#This Row],[FECHA DE VENCIMIENTO]]),"00"),"-",TEXT(DATA[[#This Row],[FECHA DE VENCIMIENTO]],"MMM"))</f>
        <v>11-Nov</v>
      </c>
    </row>
    <row r="444" spans="1:12" x14ac:dyDescent="0.3">
      <c r="A444" s="3">
        <v>44831</v>
      </c>
      <c r="B444" s="3">
        <v>44876</v>
      </c>
      <c r="C444" s="4">
        <f t="shared" si="12"/>
        <v>34</v>
      </c>
      <c r="D444" s="5" t="s">
        <v>1138</v>
      </c>
      <c r="E444" s="5">
        <v>20603042612</v>
      </c>
      <c r="F444" s="5" t="s">
        <v>1137</v>
      </c>
      <c r="G444" s="5" t="s">
        <v>33</v>
      </c>
      <c r="H444" s="5" t="s">
        <v>7</v>
      </c>
      <c r="I444" s="31">
        <v>684.4</v>
      </c>
      <c r="J444" s="31">
        <v>0</v>
      </c>
      <c r="K444" s="6" t="str">
        <f t="shared" si="13"/>
        <v>30 &lt;= 60 DIAS</v>
      </c>
      <c r="L444" s="7" t="str">
        <f>_xlfn.CONCAT(TEXT(MONTH(DATA[[#This Row],[FECHA DE VENCIMIENTO]]),"00"),"-",TEXT(DATA[[#This Row],[FECHA DE VENCIMIENTO]],"MMM"))</f>
        <v>11-Nov</v>
      </c>
    </row>
    <row r="445" spans="1:12" x14ac:dyDescent="0.3">
      <c r="A445" s="3">
        <v>44831</v>
      </c>
      <c r="B445" s="3">
        <v>44876</v>
      </c>
      <c r="C445" s="4">
        <f t="shared" si="12"/>
        <v>34</v>
      </c>
      <c r="D445" s="5" t="s">
        <v>1140</v>
      </c>
      <c r="E445" s="5">
        <v>20603042612</v>
      </c>
      <c r="F445" s="5" t="s">
        <v>1137</v>
      </c>
      <c r="G445" s="5" t="s">
        <v>33</v>
      </c>
      <c r="H445" s="5" t="s">
        <v>7</v>
      </c>
      <c r="I445" s="31">
        <v>3079.8</v>
      </c>
      <c r="J445" s="31">
        <v>0</v>
      </c>
      <c r="K445" s="6" t="str">
        <f t="shared" si="13"/>
        <v>30 &lt;= 60 DIAS</v>
      </c>
      <c r="L445" s="7" t="str">
        <f>_xlfn.CONCAT(TEXT(MONTH(DATA[[#This Row],[FECHA DE VENCIMIENTO]]),"00"),"-",TEXT(DATA[[#This Row],[FECHA DE VENCIMIENTO]],"MMM"))</f>
        <v>11-Nov</v>
      </c>
    </row>
    <row r="446" spans="1:12" hidden="1" x14ac:dyDescent="0.3">
      <c r="A446" s="3">
        <v>44817</v>
      </c>
      <c r="B446" s="3">
        <v>44877</v>
      </c>
      <c r="C446" s="4">
        <f t="shared" si="12"/>
        <v>33</v>
      </c>
      <c r="D446" s="5" t="s">
        <v>511</v>
      </c>
      <c r="E446" s="5">
        <v>20320731314</v>
      </c>
      <c r="F446" s="5" t="s">
        <v>331</v>
      </c>
      <c r="G446" s="5" t="s">
        <v>16</v>
      </c>
      <c r="H446" s="5" t="s">
        <v>29</v>
      </c>
      <c r="I446" s="31">
        <v>0</v>
      </c>
      <c r="J446" s="31">
        <v>8477.1200000000008</v>
      </c>
      <c r="K446" s="6" t="str">
        <f t="shared" si="13"/>
        <v>30 &lt;= 60 DIAS</v>
      </c>
      <c r="L446" s="7" t="str">
        <f>_xlfn.CONCAT(TEXT(MONTH(DATA[[#This Row],[FECHA DE VENCIMIENTO]]),"00"),"-",TEXT(DATA[[#This Row],[FECHA DE VENCIMIENTO]],"MMM"))</f>
        <v>11-Nov</v>
      </c>
    </row>
    <row r="447" spans="1:12" x14ac:dyDescent="0.3">
      <c r="A447" s="3">
        <v>44817</v>
      </c>
      <c r="B447" s="3">
        <v>44877</v>
      </c>
      <c r="C447" s="4">
        <f t="shared" si="12"/>
        <v>33</v>
      </c>
      <c r="D447" s="5" t="s">
        <v>827</v>
      </c>
      <c r="E447" s="5">
        <v>20601830818</v>
      </c>
      <c r="F447" s="5" t="s">
        <v>301</v>
      </c>
      <c r="G447" s="5" t="s">
        <v>13</v>
      </c>
      <c r="H447" s="5" t="s">
        <v>7</v>
      </c>
      <c r="I447" s="31">
        <v>1297.29</v>
      </c>
      <c r="J447" s="31">
        <v>0</v>
      </c>
      <c r="K447" s="6" t="str">
        <f t="shared" si="13"/>
        <v>30 &lt;= 60 DIAS</v>
      </c>
      <c r="L447" s="7" t="str">
        <f>_xlfn.CONCAT(TEXT(MONTH(DATA[[#This Row],[FECHA DE VENCIMIENTO]]),"00"),"-",TEXT(DATA[[#This Row],[FECHA DE VENCIMIENTO]],"MMM"))</f>
        <v>11-Nov</v>
      </c>
    </row>
    <row r="448" spans="1:12" hidden="1" x14ac:dyDescent="0.3">
      <c r="A448" s="3">
        <v>44818</v>
      </c>
      <c r="B448" s="3">
        <v>44878</v>
      </c>
      <c r="C448" s="4">
        <f t="shared" si="12"/>
        <v>32</v>
      </c>
      <c r="D448" s="5" t="s">
        <v>512</v>
      </c>
      <c r="E448" s="5">
        <v>20320731314</v>
      </c>
      <c r="F448" s="5" t="s">
        <v>331</v>
      </c>
      <c r="G448" s="5" t="s">
        <v>16</v>
      </c>
      <c r="H448" s="5" t="s">
        <v>29</v>
      </c>
      <c r="I448" s="31">
        <v>0</v>
      </c>
      <c r="J448" s="31">
        <v>8477.1200000000008</v>
      </c>
      <c r="K448" s="6" t="str">
        <f t="shared" si="13"/>
        <v>30 &lt;= 60 DIAS</v>
      </c>
      <c r="L448" s="7" t="str">
        <f>_xlfn.CONCAT(TEXT(MONTH(DATA[[#This Row],[FECHA DE VENCIMIENTO]]),"00"),"-",TEXT(DATA[[#This Row],[FECHA DE VENCIMIENTO]],"MMM"))</f>
        <v>11-Nov</v>
      </c>
    </row>
    <row r="449" spans="1:12" x14ac:dyDescent="0.3">
      <c r="A449" s="3">
        <v>44818</v>
      </c>
      <c r="B449" s="3">
        <v>44878</v>
      </c>
      <c r="C449" s="4">
        <f t="shared" si="12"/>
        <v>32</v>
      </c>
      <c r="D449" s="5" t="s">
        <v>707</v>
      </c>
      <c r="E449" s="5">
        <v>20132373958</v>
      </c>
      <c r="F449" s="5" t="s">
        <v>697</v>
      </c>
      <c r="G449" s="5" t="s">
        <v>58</v>
      </c>
      <c r="H449" s="5" t="s">
        <v>7</v>
      </c>
      <c r="I449" s="31">
        <v>5054.83</v>
      </c>
      <c r="J449" s="31">
        <v>0</v>
      </c>
      <c r="K449" s="6" t="str">
        <f t="shared" si="13"/>
        <v>30 &lt;= 60 DIAS</v>
      </c>
      <c r="L449" s="7" t="str">
        <f>_xlfn.CONCAT(TEXT(MONTH(DATA[[#This Row],[FECHA DE VENCIMIENTO]]),"00"),"-",TEXT(DATA[[#This Row],[FECHA DE VENCIMIENTO]],"MMM"))</f>
        <v>11-Nov</v>
      </c>
    </row>
    <row r="450" spans="1:12" x14ac:dyDescent="0.3">
      <c r="A450" s="3">
        <v>44818</v>
      </c>
      <c r="B450" s="3">
        <v>44878</v>
      </c>
      <c r="C450" s="4">
        <f t="shared" si="12"/>
        <v>32</v>
      </c>
      <c r="D450" s="5" t="s">
        <v>710</v>
      </c>
      <c r="E450" s="5">
        <v>20132373958</v>
      </c>
      <c r="F450" s="5" t="s">
        <v>697</v>
      </c>
      <c r="G450" s="5" t="s">
        <v>58</v>
      </c>
      <c r="H450" s="5" t="s">
        <v>7</v>
      </c>
      <c r="I450" s="31">
        <v>7032.8</v>
      </c>
      <c r="J450" s="31">
        <v>0</v>
      </c>
      <c r="K450" s="6" t="str">
        <f t="shared" si="13"/>
        <v>30 &lt;= 60 DIAS</v>
      </c>
      <c r="L450" s="7" t="str">
        <f>_xlfn.CONCAT(TEXT(MONTH(DATA[[#This Row],[FECHA DE VENCIMIENTO]]),"00"),"-",TEXT(DATA[[#This Row],[FECHA DE VENCIMIENTO]],"MMM"))</f>
        <v>11-Nov</v>
      </c>
    </row>
    <row r="451" spans="1:12" hidden="1" x14ac:dyDescent="0.3">
      <c r="A451" s="3">
        <v>44818</v>
      </c>
      <c r="B451" s="3">
        <v>44878</v>
      </c>
      <c r="C451" s="4">
        <f t="shared" si="12"/>
        <v>32</v>
      </c>
      <c r="D451" s="5" t="s">
        <v>823</v>
      </c>
      <c r="E451" s="5">
        <v>20601830818</v>
      </c>
      <c r="F451" s="5" t="s">
        <v>301</v>
      </c>
      <c r="G451" s="5" t="s">
        <v>13</v>
      </c>
      <c r="H451" s="5" t="s">
        <v>29</v>
      </c>
      <c r="I451" s="31">
        <v>0</v>
      </c>
      <c r="J451" s="31">
        <v>60.77</v>
      </c>
      <c r="K451" s="6" t="str">
        <f t="shared" si="13"/>
        <v>30 &lt;= 60 DIAS</v>
      </c>
      <c r="L451" s="7" t="str">
        <f>_xlfn.CONCAT(TEXT(MONTH(DATA[[#This Row],[FECHA DE VENCIMIENTO]]),"00"),"-",TEXT(DATA[[#This Row],[FECHA DE VENCIMIENTO]],"MMM"))</f>
        <v>11-Nov</v>
      </c>
    </row>
    <row r="452" spans="1:12" hidden="1" x14ac:dyDescent="0.3">
      <c r="A452" s="3">
        <v>44820</v>
      </c>
      <c r="B452" s="3">
        <v>44880</v>
      </c>
      <c r="C452" s="4">
        <f t="shared" ref="C452:C515" si="14">$E$2-B452</f>
        <v>30</v>
      </c>
      <c r="D452" s="5" t="s">
        <v>822</v>
      </c>
      <c r="E452" s="5">
        <v>20601830818</v>
      </c>
      <c r="F452" s="5" t="s">
        <v>301</v>
      </c>
      <c r="G452" s="5" t="s">
        <v>13</v>
      </c>
      <c r="H452" s="5" t="s">
        <v>29</v>
      </c>
      <c r="I452" s="31">
        <v>0</v>
      </c>
      <c r="J452" s="31">
        <v>693.84</v>
      </c>
      <c r="K452" s="6" t="str">
        <f t="shared" ref="K452:K515" si="15">IF(C452&gt;180,"180 &lt;= 360 DIAS",IF(C452&gt;90,"90 &lt;= 180 DIAS",IF(C452&gt;60,"60 &lt;= 90 DIAS",IF(C452&gt;30,"30 &lt;= 60 DIAS",IF(C452&gt;15,"15 &lt;= 30 DIAS","1-POR VENCER")))))</f>
        <v>15 &lt;= 30 DIAS</v>
      </c>
      <c r="L452" s="7" t="str">
        <f>_xlfn.CONCAT(TEXT(MONTH(DATA[[#This Row],[FECHA DE VENCIMIENTO]]),"00"),"-",TEXT(DATA[[#This Row],[FECHA DE VENCIMIENTO]],"MMM"))</f>
        <v>11-Nov</v>
      </c>
    </row>
    <row r="453" spans="1:12" hidden="1" x14ac:dyDescent="0.3">
      <c r="A453" s="3">
        <v>44820</v>
      </c>
      <c r="B453" s="3">
        <v>44880</v>
      </c>
      <c r="C453" s="4">
        <f t="shared" si="14"/>
        <v>30</v>
      </c>
      <c r="D453" s="5" t="s">
        <v>826</v>
      </c>
      <c r="E453" s="5">
        <v>20601830818</v>
      </c>
      <c r="F453" s="5" t="s">
        <v>301</v>
      </c>
      <c r="G453" s="5" t="s">
        <v>13</v>
      </c>
      <c r="H453" s="5" t="s">
        <v>7</v>
      </c>
      <c r="I453" s="31">
        <v>1604.8</v>
      </c>
      <c r="J453" s="31">
        <v>0</v>
      </c>
      <c r="K453" s="6" t="str">
        <f t="shared" si="15"/>
        <v>15 &lt;= 30 DIAS</v>
      </c>
      <c r="L453" s="7" t="str">
        <f>_xlfn.CONCAT(TEXT(MONTH(DATA[[#This Row],[FECHA DE VENCIMIENTO]]),"00"),"-",TEXT(DATA[[#This Row],[FECHA DE VENCIMIENTO]],"MMM"))</f>
        <v>11-Nov</v>
      </c>
    </row>
    <row r="454" spans="1:12" hidden="1" x14ac:dyDescent="0.3">
      <c r="A454" s="3">
        <v>44851</v>
      </c>
      <c r="B454" s="3">
        <v>44881</v>
      </c>
      <c r="C454" s="4">
        <f t="shared" si="14"/>
        <v>29</v>
      </c>
      <c r="D454" s="5" t="s">
        <v>983</v>
      </c>
      <c r="E454" s="5">
        <v>20606113758</v>
      </c>
      <c r="F454" s="5" t="s">
        <v>174</v>
      </c>
      <c r="G454" s="5" t="s">
        <v>13</v>
      </c>
      <c r="H454" s="5" t="s">
        <v>7</v>
      </c>
      <c r="I454" s="31">
        <v>254.95</v>
      </c>
      <c r="J454" s="31">
        <v>0</v>
      </c>
      <c r="K454" s="6" t="str">
        <f t="shared" si="15"/>
        <v>15 &lt;= 30 DIAS</v>
      </c>
      <c r="L454" s="7" t="str">
        <f>_xlfn.CONCAT(TEXT(MONTH(DATA[[#This Row],[FECHA DE VENCIMIENTO]]),"00"),"-",TEXT(DATA[[#This Row],[FECHA DE VENCIMIENTO]],"MMM"))</f>
        <v>11-Nov</v>
      </c>
    </row>
    <row r="455" spans="1:12" hidden="1" x14ac:dyDescent="0.3">
      <c r="A455" s="3">
        <v>44852</v>
      </c>
      <c r="B455" s="3">
        <v>44882</v>
      </c>
      <c r="C455" s="4">
        <f t="shared" si="14"/>
        <v>28</v>
      </c>
      <c r="D455" s="5" t="s">
        <v>490</v>
      </c>
      <c r="E455" s="5">
        <v>20355110916</v>
      </c>
      <c r="F455" s="5" t="s">
        <v>491</v>
      </c>
      <c r="G455" s="5" t="s">
        <v>58</v>
      </c>
      <c r="H455" s="5" t="s">
        <v>29</v>
      </c>
      <c r="I455" s="31">
        <v>0</v>
      </c>
      <c r="J455" s="31">
        <v>3808.31</v>
      </c>
      <c r="K455" s="6" t="str">
        <f t="shared" si="15"/>
        <v>15 &lt;= 30 DIAS</v>
      </c>
      <c r="L455" s="7" t="str">
        <f>_xlfn.CONCAT(TEXT(MONTH(DATA[[#This Row],[FECHA DE VENCIMIENTO]]),"00"),"-",TEXT(DATA[[#This Row],[FECHA DE VENCIMIENTO]],"MMM"))</f>
        <v>11-Nov</v>
      </c>
    </row>
    <row r="456" spans="1:12" hidden="1" x14ac:dyDescent="0.3">
      <c r="A456" s="3">
        <v>44852</v>
      </c>
      <c r="B456" s="3">
        <v>44882</v>
      </c>
      <c r="C456" s="4">
        <f t="shared" si="14"/>
        <v>28</v>
      </c>
      <c r="D456" s="5" t="s">
        <v>492</v>
      </c>
      <c r="E456" s="5">
        <v>20355110916</v>
      </c>
      <c r="F456" s="5" t="s">
        <v>491</v>
      </c>
      <c r="G456" s="5" t="s">
        <v>58</v>
      </c>
      <c r="H456" s="5" t="s">
        <v>29</v>
      </c>
      <c r="I456" s="31">
        <v>0</v>
      </c>
      <c r="J456" s="31">
        <v>1215.49</v>
      </c>
      <c r="K456" s="6" t="str">
        <f t="shared" si="15"/>
        <v>15 &lt;= 30 DIAS</v>
      </c>
      <c r="L456" s="7" t="str">
        <f>_xlfn.CONCAT(TEXT(MONTH(DATA[[#This Row],[FECHA DE VENCIMIENTO]]),"00"),"-",TEXT(DATA[[#This Row],[FECHA DE VENCIMIENTO]],"MMM"))</f>
        <v>11-Nov</v>
      </c>
    </row>
    <row r="457" spans="1:12" hidden="1" x14ac:dyDescent="0.3">
      <c r="A457" s="3">
        <v>44852</v>
      </c>
      <c r="B457" s="3">
        <v>44882</v>
      </c>
      <c r="C457" s="4">
        <f t="shared" si="14"/>
        <v>28</v>
      </c>
      <c r="D457" s="5" t="s">
        <v>493</v>
      </c>
      <c r="E457" s="5">
        <v>20355110916</v>
      </c>
      <c r="F457" s="5" t="s">
        <v>491</v>
      </c>
      <c r="G457" s="5" t="s">
        <v>58</v>
      </c>
      <c r="H457" s="5" t="s">
        <v>29</v>
      </c>
      <c r="I457" s="31">
        <v>0</v>
      </c>
      <c r="J457" s="31">
        <v>726.24</v>
      </c>
      <c r="K457" s="6" t="str">
        <f t="shared" si="15"/>
        <v>15 &lt;= 30 DIAS</v>
      </c>
      <c r="L457" s="7" t="str">
        <f>_xlfn.CONCAT(TEXT(MONTH(DATA[[#This Row],[FECHA DE VENCIMIENTO]]),"00"),"-",TEXT(DATA[[#This Row],[FECHA DE VENCIMIENTO]],"MMM"))</f>
        <v>11-Nov</v>
      </c>
    </row>
    <row r="458" spans="1:12" hidden="1" x14ac:dyDescent="0.3">
      <c r="A458" s="3">
        <v>44852</v>
      </c>
      <c r="B458" s="3">
        <v>44882</v>
      </c>
      <c r="C458" s="4">
        <f t="shared" si="14"/>
        <v>28</v>
      </c>
      <c r="D458" s="5" t="s">
        <v>494</v>
      </c>
      <c r="E458" s="5">
        <v>20355110916</v>
      </c>
      <c r="F458" s="5" t="s">
        <v>491</v>
      </c>
      <c r="G458" s="5" t="s">
        <v>58</v>
      </c>
      <c r="H458" s="5" t="s">
        <v>29</v>
      </c>
      <c r="I458" s="31">
        <v>0</v>
      </c>
      <c r="J458" s="31">
        <v>3542.18</v>
      </c>
      <c r="K458" s="6" t="str">
        <f t="shared" si="15"/>
        <v>15 &lt;= 30 DIAS</v>
      </c>
      <c r="L458" s="7" t="str">
        <f>_xlfn.CONCAT(TEXT(MONTH(DATA[[#This Row],[FECHA DE VENCIMIENTO]]),"00"),"-",TEXT(DATA[[#This Row],[FECHA DE VENCIMIENTO]],"MMM"))</f>
        <v>11-Nov</v>
      </c>
    </row>
    <row r="459" spans="1:12" hidden="1" x14ac:dyDescent="0.3">
      <c r="A459" s="3">
        <v>44837</v>
      </c>
      <c r="B459" s="3">
        <v>44882</v>
      </c>
      <c r="C459" s="4">
        <f t="shared" si="14"/>
        <v>28</v>
      </c>
      <c r="D459" s="5" t="s">
        <v>855</v>
      </c>
      <c r="E459" s="5">
        <v>20534406496</v>
      </c>
      <c r="F459" s="5" t="s">
        <v>359</v>
      </c>
      <c r="G459" s="5" t="s">
        <v>13</v>
      </c>
      <c r="H459" s="5" t="s">
        <v>7</v>
      </c>
      <c r="I459" s="31">
        <v>8482.64</v>
      </c>
      <c r="J459" s="31">
        <v>0</v>
      </c>
      <c r="K459" s="6" t="str">
        <f t="shared" si="15"/>
        <v>15 &lt;= 30 DIAS</v>
      </c>
      <c r="L459" s="7" t="str">
        <f>_xlfn.CONCAT(TEXT(MONTH(DATA[[#This Row],[FECHA DE VENCIMIENTO]]),"00"),"-",TEXT(DATA[[#This Row],[FECHA DE VENCIMIENTO]],"MMM"))</f>
        <v>11-Nov</v>
      </c>
    </row>
    <row r="460" spans="1:12" hidden="1" x14ac:dyDescent="0.3">
      <c r="A460" s="3">
        <v>44823</v>
      </c>
      <c r="B460" s="3">
        <v>44883</v>
      </c>
      <c r="C460" s="4">
        <f t="shared" si="14"/>
        <v>27</v>
      </c>
      <c r="D460" s="5" t="s">
        <v>513</v>
      </c>
      <c r="E460" s="5">
        <v>20320731314</v>
      </c>
      <c r="F460" s="5" t="s">
        <v>331</v>
      </c>
      <c r="G460" s="5" t="s">
        <v>16</v>
      </c>
      <c r="H460" s="5" t="s">
        <v>29</v>
      </c>
      <c r="I460" s="31">
        <v>0</v>
      </c>
      <c r="J460" s="31">
        <v>8477.1200000000008</v>
      </c>
      <c r="K460" s="6" t="str">
        <f t="shared" si="15"/>
        <v>15 &lt;= 30 DIAS</v>
      </c>
      <c r="L460" s="7" t="str">
        <f>_xlfn.CONCAT(TEXT(MONTH(DATA[[#This Row],[FECHA DE VENCIMIENTO]]),"00"),"-",TEXT(DATA[[#This Row],[FECHA DE VENCIMIENTO]],"MMM"))</f>
        <v>11-Nov</v>
      </c>
    </row>
    <row r="461" spans="1:12" hidden="1" x14ac:dyDescent="0.3">
      <c r="A461" s="3">
        <v>44853</v>
      </c>
      <c r="B461" s="3">
        <v>44883</v>
      </c>
      <c r="C461" s="4">
        <f t="shared" si="14"/>
        <v>27</v>
      </c>
      <c r="D461" s="5" t="s">
        <v>807</v>
      </c>
      <c r="E461" s="5">
        <v>10188333597</v>
      </c>
      <c r="F461" s="5" t="s">
        <v>808</v>
      </c>
      <c r="G461" s="5" t="s">
        <v>58</v>
      </c>
      <c r="H461" s="5" t="s">
        <v>29</v>
      </c>
      <c r="I461" s="31">
        <v>0</v>
      </c>
      <c r="J461" s="31">
        <v>346.92</v>
      </c>
      <c r="K461" s="6" t="str">
        <f t="shared" si="15"/>
        <v>15 &lt;= 30 DIAS</v>
      </c>
      <c r="L461" s="7" t="str">
        <f>_xlfn.CONCAT(TEXT(MONTH(DATA[[#This Row],[FECHA DE VENCIMIENTO]]),"00"),"-",TEXT(DATA[[#This Row],[FECHA DE VENCIMIENTO]],"MMM"))</f>
        <v>11-Nov</v>
      </c>
    </row>
    <row r="462" spans="1:12" hidden="1" x14ac:dyDescent="0.3">
      <c r="A462" s="3">
        <v>44853</v>
      </c>
      <c r="B462" s="3">
        <v>44883</v>
      </c>
      <c r="C462" s="4">
        <f t="shared" si="14"/>
        <v>27</v>
      </c>
      <c r="D462" s="5" t="s">
        <v>970</v>
      </c>
      <c r="E462" s="5">
        <v>20600450329</v>
      </c>
      <c r="F462" s="5" t="s">
        <v>341</v>
      </c>
      <c r="G462" s="5" t="s">
        <v>13</v>
      </c>
      <c r="H462" s="5" t="s">
        <v>29</v>
      </c>
      <c r="I462" s="31">
        <v>0</v>
      </c>
      <c r="J462" s="31">
        <v>590</v>
      </c>
      <c r="K462" s="6" t="str">
        <f t="shared" si="15"/>
        <v>15 &lt;= 30 DIAS</v>
      </c>
      <c r="L462" s="7" t="str">
        <f>_xlfn.CONCAT(TEXT(MONTH(DATA[[#This Row],[FECHA DE VENCIMIENTO]]),"00"),"-",TEXT(DATA[[#This Row],[FECHA DE VENCIMIENTO]],"MMM"))</f>
        <v>11-Nov</v>
      </c>
    </row>
    <row r="463" spans="1:12" hidden="1" x14ac:dyDescent="0.3">
      <c r="A463" s="3">
        <v>44876</v>
      </c>
      <c r="B463" s="3">
        <v>44883</v>
      </c>
      <c r="C463" s="4">
        <f t="shared" si="14"/>
        <v>27</v>
      </c>
      <c r="D463" s="5" t="s">
        <v>992</v>
      </c>
      <c r="E463" s="5">
        <v>20606113758</v>
      </c>
      <c r="F463" s="5" t="s">
        <v>174</v>
      </c>
      <c r="G463" s="5" t="s">
        <v>13</v>
      </c>
      <c r="H463" s="5" t="s">
        <v>7</v>
      </c>
      <c r="I463" s="31">
        <v>3370.08</v>
      </c>
      <c r="J463" s="31">
        <v>0</v>
      </c>
      <c r="K463" s="6" t="str">
        <f t="shared" si="15"/>
        <v>15 &lt;= 30 DIAS</v>
      </c>
      <c r="L463" s="7" t="str">
        <f>_xlfn.CONCAT(TEXT(MONTH(DATA[[#This Row],[FECHA DE VENCIMIENTO]]),"00"),"-",TEXT(DATA[[#This Row],[FECHA DE VENCIMIENTO]],"MMM"))</f>
        <v>11-Nov</v>
      </c>
    </row>
    <row r="464" spans="1:12" hidden="1" x14ac:dyDescent="0.3">
      <c r="A464" s="3">
        <v>44883</v>
      </c>
      <c r="B464" s="3">
        <v>44883</v>
      </c>
      <c r="C464" s="4">
        <f t="shared" si="14"/>
        <v>27</v>
      </c>
      <c r="D464" s="5" t="s">
        <v>1067</v>
      </c>
      <c r="E464" s="5">
        <v>23600869</v>
      </c>
      <c r="F464" s="5" t="s">
        <v>1068</v>
      </c>
      <c r="G464" s="5" t="s">
        <v>13</v>
      </c>
      <c r="H464" s="5" t="s">
        <v>7</v>
      </c>
      <c r="I464" s="31">
        <v>597.5</v>
      </c>
      <c r="J464" s="31">
        <v>0</v>
      </c>
      <c r="K464" s="6" t="str">
        <f t="shared" si="15"/>
        <v>15 &lt;= 30 DIAS</v>
      </c>
      <c r="L464" s="7" t="str">
        <f>_xlfn.CONCAT(TEXT(MONTH(DATA[[#This Row],[FECHA DE VENCIMIENTO]]),"00"),"-",TEXT(DATA[[#This Row],[FECHA DE VENCIMIENTO]],"MMM"))</f>
        <v>11-Nov</v>
      </c>
    </row>
    <row r="465" spans="1:12" hidden="1" x14ac:dyDescent="0.3">
      <c r="A465" s="3">
        <v>44838</v>
      </c>
      <c r="B465" s="3">
        <v>44883</v>
      </c>
      <c r="C465" s="4">
        <f t="shared" si="14"/>
        <v>27</v>
      </c>
      <c r="D465" s="5" t="s">
        <v>1156</v>
      </c>
      <c r="E465" s="5">
        <v>20602768512</v>
      </c>
      <c r="F465" s="5" t="s">
        <v>373</v>
      </c>
      <c r="G465" s="5" t="s">
        <v>13</v>
      </c>
      <c r="H465" s="5" t="s">
        <v>7</v>
      </c>
      <c r="I465" s="31">
        <v>7288.15</v>
      </c>
      <c r="J465" s="31">
        <v>0</v>
      </c>
      <c r="K465" s="6" t="str">
        <f t="shared" si="15"/>
        <v>15 &lt;= 30 DIAS</v>
      </c>
      <c r="L465" s="7" t="str">
        <f>_xlfn.CONCAT(TEXT(MONTH(DATA[[#This Row],[FECHA DE VENCIMIENTO]]),"00"),"-",TEXT(DATA[[#This Row],[FECHA DE VENCIMIENTO]],"MMM"))</f>
        <v>11-Nov</v>
      </c>
    </row>
    <row r="466" spans="1:12" hidden="1" x14ac:dyDescent="0.3">
      <c r="A466" s="3">
        <v>44838</v>
      </c>
      <c r="B466" s="3">
        <v>44883</v>
      </c>
      <c r="C466" s="4">
        <f t="shared" si="14"/>
        <v>27</v>
      </c>
      <c r="D466" s="5" t="s">
        <v>1158</v>
      </c>
      <c r="E466" s="5">
        <v>20602768512</v>
      </c>
      <c r="F466" s="5" t="s">
        <v>373</v>
      </c>
      <c r="G466" s="5" t="s">
        <v>13</v>
      </c>
      <c r="H466" s="5" t="s">
        <v>29</v>
      </c>
      <c r="I466" s="31">
        <v>0</v>
      </c>
      <c r="J466" s="31">
        <v>64.900000000000006</v>
      </c>
      <c r="K466" s="6" t="str">
        <f t="shared" si="15"/>
        <v>15 &lt;= 30 DIAS</v>
      </c>
      <c r="L466" s="7" t="str">
        <f>_xlfn.CONCAT(TEXT(MONTH(DATA[[#This Row],[FECHA DE VENCIMIENTO]]),"00"),"-",TEXT(DATA[[#This Row],[FECHA DE VENCIMIENTO]],"MMM"))</f>
        <v>11-Nov</v>
      </c>
    </row>
    <row r="467" spans="1:12" hidden="1" x14ac:dyDescent="0.3">
      <c r="A467" s="3">
        <v>44854</v>
      </c>
      <c r="B467" s="3">
        <v>44884</v>
      </c>
      <c r="C467" s="4">
        <f t="shared" si="14"/>
        <v>26</v>
      </c>
      <c r="D467" s="5" t="s">
        <v>481</v>
      </c>
      <c r="E467" s="5">
        <v>20540079227</v>
      </c>
      <c r="F467" s="5" t="s">
        <v>482</v>
      </c>
      <c r="G467" s="5" t="s">
        <v>58</v>
      </c>
      <c r="H467" s="5" t="s">
        <v>29</v>
      </c>
      <c r="I467" s="31">
        <v>0</v>
      </c>
      <c r="J467" s="31">
        <v>337.61</v>
      </c>
      <c r="K467" s="6" t="str">
        <f t="shared" si="15"/>
        <v>15 &lt;= 30 DIAS</v>
      </c>
      <c r="L467" s="7" t="str">
        <f>_xlfn.CONCAT(TEXT(MONTH(DATA[[#This Row],[FECHA DE VENCIMIENTO]]),"00"),"-",TEXT(DATA[[#This Row],[FECHA DE VENCIMIENTO]],"MMM"))</f>
        <v>11-Nov</v>
      </c>
    </row>
    <row r="468" spans="1:12" hidden="1" x14ac:dyDescent="0.3">
      <c r="A468" s="3">
        <v>44854</v>
      </c>
      <c r="B468" s="3">
        <v>44884</v>
      </c>
      <c r="C468" s="4">
        <f t="shared" si="14"/>
        <v>26</v>
      </c>
      <c r="D468" s="5" t="s">
        <v>484</v>
      </c>
      <c r="E468" s="5">
        <v>20540079227</v>
      </c>
      <c r="F468" s="5" t="s">
        <v>482</v>
      </c>
      <c r="G468" s="5" t="s">
        <v>58</v>
      </c>
      <c r="H468" s="5" t="s">
        <v>7</v>
      </c>
      <c r="I468" s="31">
        <v>2285.14</v>
      </c>
      <c r="J468" s="31">
        <v>0</v>
      </c>
      <c r="K468" s="6" t="str">
        <f t="shared" si="15"/>
        <v>15 &lt;= 30 DIAS</v>
      </c>
      <c r="L468" s="7" t="str">
        <f>_xlfn.CONCAT(TEXT(MONTH(DATA[[#This Row],[FECHA DE VENCIMIENTO]]),"00"),"-",TEXT(DATA[[#This Row],[FECHA DE VENCIMIENTO]],"MMM"))</f>
        <v>11-Nov</v>
      </c>
    </row>
    <row r="469" spans="1:12" hidden="1" x14ac:dyDescent="0.3">
      <c r="A469" s="3">
        <v>44854</v>
      </c>
      <c r="B469" s="3">
        <v>44884</v>
      </c>
      <c r="C469" s="4">
        <f t="shared" si="14"/>
        <v>26</v>
      </c>
      <c r="D469" s="5" t="s">
        <v>575</v>
      </c>
      <c r="E469" s="5">
        <v>20605834354</v>
      </c>
      <c r="F469" s="5" t="s">
        <v>576</v>
      </c>
      <c r="G469" s="5" t="s">
        <v>13</v>
      </c>
      <c r="H469" s="5" t="s">
        <v>29</v>
      </c>
      <c r="I469" s="31">
        <v>0</v>
      </c>
      <c r="J469" s="31">
        <v>463.03</v>
      </c>
      <c r="K469" s="6" t="str">
        <f t="shared" si="15"/>
        <v>15 &lt;= 30 DIAS</v>
      </c>
      <c r="L469" s="7" t="str">
        <f>_xlfn.CONCAT(TEXT(MONTH(DATA[[#This Row],[FECHA DE VENCIMIENTO]]),"00"),"-",TEXT(DATA[[#This Row],[FECHA DE VENCIMIENTO]],"MMM"))</f>
        <v>11-Nov</v>
      </c>
    </row>
    <row r="470" spans="1:12" hidden="1" x14ac:dyDescent="0.3">
      <c r="A470" s="3">
        <v>44854</v>
      </c>
      <c r="B470" s="3">
        <v>44884</v>
      </c>
      <c r="C470" s="4">
        <f t="shared" si="14"/>
        <v>26</v>
      </c>
      <c r="D470" s="5" t="s">
        <v>812</v>
      </c>
      <c r="E470" s="5">
        <v>20467089464</v>
      </c>
      <c r="F470" s="5" t="s">
        <v>810</v>
      </c>
      <c r="G470" s="5" t="s">
        <v>26</v>
      </c>
      <c r="H470" s="5" t="s">
        <v>29</v>
      </c>
      <c r="I470" s="31">
        <v>0</v>
      </c>
      <c r="J470" s="31">
        <v>665.52</v>
      </c>
      <c r="K470" s="6" t="str">
        <f t="shared" si="15"/>
        <v>15 &lt;= 30 DIAS</v>
      </c>
      <c r="L470" s="7" t="str">
        <f>_xlfn.CONCAT(TEXT(MONTH(DATA[[#This Row],[FECHA DE VENCIMIENTO]]),"00"),"-",TEXT(DATA[[#This Row],[FECHA DE VENCIMIENTO]],"MMM"))</f>
        <v>11-Nov</v>
      </c>
    </row>
    <row r="471" spans="1:12" ht="31.2" hidden="1" x14ac:dyDescent="0.3">
      <c r="A471" s="3">
        <v>44855</v>
      </c>
      <c r="B471" s="3">
        <v>44885</v>
      </c>
      <c r="C471" s="4">
        <f t="shared" si="14"/>
        <v>25</v>
      </c>
      <c r="D471" s="5" t="s">
        <v>792</v>
      </c>
      <c r="E471" s="5">
        <v>20450497950</v>
      </c>
      <c r="F471" s="5" t="s">
        <v>791</v>
      </c>
      <c r="G471" s="5" t="s">
        <v>46</v>
      </c>
      <c r="H471" s="5" t="s">
        <v>29</v>
      </c>
      <c r="I471" s="31">
        <v>0</v>
      </c>
      <c r="J471" s="31">
        <v>3119.04</v>
      </c>
      <c r="K471" s="6" t="str">
        <f t="shared" si="15"/>
        <v>15 &lt;= 30 DIAS</v>
      </c>
      <c r="L471" s="7" t="str">
        <f>_xlfn.CONCAT(TEXT(MONTH(DATA[[#This Row],[FECHA DE VENCIMIENTO]]),"00"),"-",TEXT(DATA[[#This Row],[FECHA DE VENCIMIENTO]],"MMM"))</f>
        <v>11-Nov</v>
      </c>
    </row>
    <row r="472" spans="1:12" ht="31.2" hidden="1" x14ac:dyDescent="0.3">
      <c r="A472" s="3">
        <v>44855</v>
      </c>
      <c r="B472" s="3">
        <v>44885</v>
      </c>
      <c r="C472" s="4">
        <f t="shared" si="14"/>
        <v>25</v>
      </c>
      <c r="D472" s="5" t="s">
        <v>793</v>
      </c>
      <c r="E472" s="5">
        <v>20450497950</v>
      </c>
      <c r="F472" s="5" t="s">
        <v>791</v>
      </c>
      <c r="G472" s="5" t="s">
        <v>46</v>
      </c>
      <c r="H472" s="5" t="s">
        <v>29</v>
      </c>
      <c r="I472" s="31">
        <v>0</v>
      </c>
      <c r="J472" s="31">
        <v>429.23</v>
      </c>
      <c r="K472" s="6" t="str">
        <f t="shared" si="15"/>
        <v>15 &lt;= 30 DIAS</v>
      </c>
      <c r="L472" s="7" t="str">
        <f>_xlfn.CONCAT(TEXT(MONTH(DATA[[#This Row],[FECHA DE VENCIMIENTO]]),"00"),"-",TEXT(DATA[[#This Row],[FECHA DE VENCIMIENTO]],"MMM"))</f>
        <v>11-Nov</v>
      </c>
    </row>
    <row r="473" spans="1:12" hidden="1" x14ac:dyDescent="0.3">
      <c r="A473" s="3">
        <v>44855</v>
      </c>
      <c r="B473" s="3">
        <v>44885</v>
      </c>
      <c r="C473" s="4">
        <f t="shared" si="14"/>
        <v>25</v>
      </c>
      <c r="D473" s="5" t="s">
        <v>968</v>
      </c>
      <c r="E473" s="5">
        <v>20509902730</v>
      </c>
      <c r="F473" s="5" t="s">
        <v>381</v>
      </c>
      <c r="G473" s="5" t="s">
        <v>16</v>
      </c>
      <c r="H473" s="5" t="s">
        <v>29</v>
      </c>
      <c r="I473" s="31">
        <v>0</v>
      </c>
      <c r="J473" s="31">
        <v>289.93</v>
      </c>
      <c r="K473" s="6" t="str">
        <f t="shared" si="15"/>
        <v>15 &lt;= 30 DIAS</v>
      </c>
      <c r="L473" s="7" t="str">
        <f>_xlfn.CONCAT(TEXT(MONTH(DATA[[#This Row],[FECHA DE VENCIMIENTO]]),"00"),"-",TEXT(DATA[[#This Row],[FECHA DE VENCIMIENTO]],"MMM"))</f>
        <v>11-Nov</v>
      </c>
    </row>
    <row r="474" spans="1:12" hidden="1" x14ac:dyDescent="0.3">
      <c r="A474" s="3">
        <v>44827</v>
      </c>
      <c r="B474" s="3">
        <v>44887</v>
      </c>
      <c r="C474" s="4">
        <f t="shared" si="14"/>
        <v>23</v>
      </c>
      <c r="D474" s="5" t="s">
        <v>516</v>
      </c>
      <c r="E474" s="5">
        <v>20320731314</v>
      </c>
      <c r="F474" s="5" t="s">
        <v>331</v>
      </c>
      <c r="G474" s="5" t="s">
        <v>16</v>
      </c>
      <c r="H474" s="5" t="s">
        <v>29</v>
      </c>
      <c r="I474" s="31">
        <v>0</v>
      </c>
      <c r="J474" s="31">
        <v>8477.1200000000008</v>
      </c>
      <c r="K474" s="6" t="str">
        <f t="shared" si="15"/>
        <v>15 &lt;= 30 DIAS</v>
      </c>
      <c r="L474" s="7" t="str">
        <f>_xlfn.CONCAT(TEXT(MONTH(DATA[[#This Row],[FECHA DE VENCIMIENTO]]),"00"),"-",TEXT(DATA[[#This Row],[FECHA DE VENCIMIENTO]],"MMM"))</f>
        <v>11-Nov</v>
      </c>
    </row>
    <row r="475" spans="1:12" hidden="1" x14ac:dyDescent="0.3">
      <c r="A475" s="3">
        <v>44887</v>
      </c>
      <c r="B475" s="3">
        <v>44887</v>
      </c>
      <c r="C475" s="4">
        <f t="shared" si="14"/>
        <v>23</v>
      </c>
      <c r="D475" s="5" t="s">
        <v>648</v>
      </c>
      <c r="E475" s="5">
        <v>20609990032</v>
      </c>
      <c r="F475" s="5" t="s">
        <v>647</v>
      </c>
      <c r="G475" s="5" t="s">
        <v>58</v>
      </c>
      <c r="H475" s="5" t="s">
        <v>7</v>
      </c>
      <c r="I475" s="31">
        <v>1416</v>
      </c>
      <c r="J475" s="31">
        <v>0</v>
      </c>
      <c r="K475" s="6" t="str">
        <f t="shared" si="15"/>
        <v>15 &lt;= 30 DIAS</v>
      </c>
      <c r="L475" s="7" t="str">
        <f>_xlfn.CONCAT(TEXT(MONTH(DATA[[#This Row],[FECHA DE VENCIMIENTO]]),"00"),"-",TEXT(DATA[[#This Row],[FECHA DE VENCIMIENTO]],"MMM"))</f>
        <v>11-Nov</v>
      </c>
    </row>
    <row r="476" spans="1:12" hidden="1" x14ac:dyDescent="0.3">
      <c r="A476" s="3">
        <v>44887</v>
      </c>
      <c r="B476" s="3">
        <v>44887</v>
      </c>
      <c r="C476" s="4">
        <f t="shared" si="14"/>
        <v>23</v>
      </c>
      <c r="D476" s="5" t="s">
        <v>690</v>
      </c>
      <c r="E476" s="5">
        <v>29532091</v>
      </c>
      <c r="F476" s="5" t="s">
        <v>689</v>
      </c>
      <c r="G476" s="5" t="s">
        <v>33</v>
      </c>
      <c r="H476" s="5" t="s">
        <v>29</v>
      </c>
      <c r="I476" s="31">
        <v>0</v>
      </c>
      <c r="J476" s="31">
        <v>154.52000000000001</v>
      </c>
      <c r="K476" s="6" t="str">
        <f t="shared" si="15"/>
        <v>15 &lt;= 30 DIAS</v>
      </c>
      <c r="L476" s="7" t="str">
        <f>_xlfn.CONCAT(TEXT(MONTH(DATA[[#This Row],[FECHA DE VENCIMIENTO]]),"00"),"-",TEXT(DATA[[#This Row],[FECHA DE VENCIMIENTO]],"MMM"))</f>
        <v>11-Nov</v>
      </c>
    </row>
    <row r="477" spans="1:12" hidden="1" x14ac:dyDescent="0.3">
      <c r="A477" s="3">
        <v>44887</v>
      </c>
      <c r="B477" s="3">
        <v>44887</v>
      </c>
      <c r="C477" s="4">
        <f t="shared" si="14"/>
        <v>23</v>
      </c>
      <c r="D477" s="5" t="s">
        <v>1106</v>
      </c>
      <c r="E477" s="5">
        <v>20527979936</v>
      </c>
      <c r="F477" s="5" t="s">
        <v>306</v>
      </c>
      <c r="G477" s="5" t="s">
        <v>33</v>
      </c>
      <c r="H477" s="5" t="s">
        <v>7</v>
      </c>
      <c r="I477" s="31">
        <v>634.97</v>
      </c>
      <c r="J477" s="31">
        <v>0</v>
      </c>
      <c r="K477" s="6" t="str">
        <f t="shared" si="15"/>
        <v>15 &lt;= 30 DIAS</v>
      </c>
      <c r="L477" s="7" t="str">
        <f>_xlfn.CONCAT(TEXT(MONTH(DATA[[#This Row],[FECHA DE VENCIMIENTO]]),"00"),"-",TEXT(DATA[[#This Row],[FECHA DE VENCIMIENTO]],"MMM"))</f>
        <v>11-Nov</v>
      </c>
    </row>
    <row r="478" spans="1:12" ht="31.2" hidden="1" x14ac:dyDescent="0.3">
      <c r="A478" s="3">
        <v>44858</v>
      </c>
      <c r="B478" s="3">
        <v>44888</v>
      </c>
      <c r="C478" s="4">
        <f t="shared" si="14"/>
        <v>22</v>
      </c>
      <c r="D478" s="5" t="s">
        <v>725</v>
      </c>
      <c r="E478" s="5">
        <v>20393851989</v>
      </c>
      <c r="F478" s="5" t="s">
        <v>726</v>
      </c>
      <c r="G478" s="5" t="s">
        <v>46</v>
      </c>
      <c r="H478" s="5" t="s">
        <v>7</v>
      </c>
      <c r="I478" s="31">
        <v>2053.1999999999998</v>
      </c>
      <c r="J478" s="31">
        <v>0</v>
      </c>
      <c r="K478" s="6" t="str">
        <f t="shared" si="15"/>
        <v>15 &lt;= 30 DIAS</v>
      </c>
      <c r="L478" s="7" t="str">
        <f>_xlfn.CONCAT(TEXT(MONTH(DATA[[#This Row],[FECHA DE VENCIMIENTO]]),"00"),"-",TEXT(DATA[[#This Row],[FECHA DE VENCIMIENTO]],"MMM"))</f>
        <v>11-Nov</v>
      </c>
    </row>
    <row r="479" spans="1:12" hidden="1" x14ac:dyDescent="0.3">
      <c r="A479" s="3">
        <v>44858</v>
      </c>
      <c r="B479" s="3">
        <v>44888</v>
      </c>
      <c r="C479" s="4">
        <f t="shared" si="14"/>
        <v>22</v>
      </c>
      <c r="D479" s="5" t="s">
        <v>796</v>
      </c>
      <c r="E479" s="5">
        <v>20389715060</v>
      </c>
      <c r="F479" s="5" t="s">
        <v>797</v>
      </c>
      <c r="G479" s="5" t="s">
        <v>13</v>
      </c>
      <c r="H479" s="5" t="s">
        <v>29</v>
      </c>
      <c r="I479" s="31">
        <v>0</v>
      </c>
      <c r="J479" s="31">
        <v>413</v>
      </c>
      <c r="K479" s="6" t="str">
        <f t="shared" si="15"/>
        <v>15 &lt;= 30 DIAS</v>
      </c>
      <c r="L479" s="7" t="str">
        <f>_xlfn.CONCAT(TEXT(MONTH(DATA[[#This Row],[FECHA DE VENCIMIENTO]]),"00"),"-",TEXT(DATA[[#This Row],[FECHA DE VENCIMIENTO]],"MMM"))</f>
        <v>11-Nov</v>
      </c>
    </row>
    <row r="480" spans="1:12" hidden="1" x14ac:dyDescent="0.3">
      <c r="A480" s="3">
        <v>44858</v>
      </c>
      <c r="B480" s="3">
        <v>44888</v>
      </c>
      <c r="C480" s="4">
        <f t="shared" si="14"/>
        <v>22</v>
      </c>
      <c r="D480" s="5" t="s">
        <v>948</v>
      </c>
      <c r="E480" s="5">
        <v>20603536372</v>
      </c>
      <c r="F480" s="5" t="s">
        <v>321</v>
      </c>
      <c r="G480" s="5" t="s">
        <v>33</v>
      </c>
      <c r="H480" s="5" t="s">
        <v>29</v>
      </c>
      <c r="I480" s="31">
        <v>0</v>
      </c>
      <c r="J480" s="31">
        <v>1138.1099999999999</v>
      </c>
      <c r="K480" s="6" t="str">
        <f t="shared" si="15"/>
        <v>15 &lt;= 30 DIAS</v>
      </c>
      <c r="L480" s="7" t="str">
        <f>_xlfn.CONCAT(TEXT(MONTH(DATA[[#This Row],[FECHA DE VENCIMIENTO]]),"00"),"-",TEXT(DATA[[#This Row],[FECHA DE VENCIMIENTO]],"MMM"))</f>
        <v>11-Nov</v>
      </c>
    </row>
    <row r="481" spans="1:12" hidden="1" x14ac:dyDescent="0.3">
      <c r="A481" s="3">
        <v>44858</v>
      </c>
      <c r="B481" s="3">
        <v>44888</v>
      </c>
      <c r="C481" s="4">
        <f t="shared" si="14"/>
        <v>22</v>
      </c>
      <c r="D481" s="5" t="s">
        <v>952</v>
      </c>
      <c r="E481" s="5">
        <v>20566031583</v>
      </c>
      <c r="F481" s="5" t="s">
        <v>953</v>
      </c>
      <c r="G481" s="5" t="s">
        <v>13</v>
      </c>
      <c r="H481" s="5" t="s">
        <v>29</v>
      </c>
      <c r="I481" s="31">
        <v>0</v>
      </c>
      <c r="J481" s="31">
        <v>1625.45</v>
      </c>
      <c r="K481" s="6" t="str">
        <f t="shared" si="15"/>
        <v>15 &lt;= 30 DIAS</v>
      </c>
      <c r="L481" s="7" t="str">
        <f>_xlfn.CONCAT(TEXT(MONTH(DATA[[#This Row],[FECHA DE VENCIMIENTO]]),"00"),"-",TEXT(DATA[[#This Row],[FECHA DE VENCIMIENTO]],"MMM"))</f>
        <v>11-Nov</v>
      </c>
    </row>
    <row r="482" spans="1:12" hidden="1" x14ac:dyDescent="0.3">
      <c r="A482" s="3">
        <v>44858</v>
      </c>
      <c r="B482" s="3">
        <v>44888</v>
      </c>
      <c r="C482" s="4">
        <f t="shared" si="14"/>
        <v>22</v>
      </c>
      <c r="D482" s="5" t="s">
        <v>971</v>
      </c>
      <c r="E482" s="5">
        <v>20600450329</v>
      </c>
      <c r="F482" s="5" t="s">
        <v>341</v>
      </c>
      <c r="G482" s="5" t="s">
        <v>13</v>
      </c>
      <c r="H482" s="5" t="s">
        <v>29</v>
      </c>
      <c r="I482" s="31">
        <v>0</v>
      </c>
      <c r="J482" s="31">
        <v>756.97</v>
      </c>
      <c r="K482" s="6" t="str">
        <f t="shared" si="15"/>
        <v>15 &lt;= 30 DIAS</v>
      </c>
      <c r="L482" s="7" t="str">
        <f>_xlfn.CONCAT(TEXT(MONTH(DATA[[#This Row],[FECHA DE VENCIMIENTO]]),"00"),"-",TEXT(DATA[[#This Row],[FECHA DE VENCIMIENTO]],"MMM"))</f>
        <v>11-Nov</v>
      </c>
    </row>
    <row r="483" spans="1:12" hidden="1" x14ac:dyDescent="0.3">
      <c r="A483" s="3">
        <v>44858</v>
      </c>
      <c r="B483" s="3">
        <v>44888</v>
      </c>
      <c r="C483" s="4">
        <f t="shared" si="14"/>
        <v>22</v>
      </c>
      <c r="D483" s="5" t="s">
        <v>974</v>
      </c>
      <c r="E483" s="5">
        <v>20600450329</v>
      </c>
      <c r="F483" s="5" t="s">
        <v>341</v>
      </c>
      <c r="G483" s="5" t="s">
        <v>13</v>
      </c>
      <c r="H483" s="5" t="s">
        <v>7</v>
      </c>
      <c r="I483" s="31">
        <v>1557.6</v>
      </c>
      <c r="J483" s="31">
        <v>0</v>
      </c>
      <c r="K483" s="6" t="str">
        <f t="shared" si="15"/>
        <v>15 &lt;= 30 DIAS</v>
      </c>
      <c r="L483" s="7" t="str">
        <f>_xlfn.CONCAT(TEXT(MONTH(DATA[[#This Row],[FECHA DE VENCIMIENTO]]),"00"),"-",TEXT(DATA[[#This Row],[FECHA DE VENCIMIENTO]],"MMM"))</f>
        <v>11-Nov</v>
      </c>
    </row>
    <row r="484" spans="1:12" hidden="1" x14ac:dyDescent="0.3">
      <c r="A484" s="3">
        <v>44881</v>
      </c>
      <c r="B484" s="3">
        <v>44888</v>
      </c>
      <c r="C484" s="4">
        <f t="shared" si="14"/>
        <v>22</v>
      </c>
      <c r="D484" s="5" t="s">
        <v>994</v>
      </c>
      <c r="E484" s="5">
        <v>20606113758</v>
      </c>
      <c r="F484" s="5" t="s">
        <v>174</v>
      </c>
      <c r="G484" s="5" t="s">
        <v>13</v>
      </c>
      <c r="H484" s="5" t="s">
        <v>7</v>
      </c>
      <c r="I484" s="31">
        <v>3610.8</v>
      </c>
      <c r="J484" s="31">
        <v>0</v>
      </c>
      <c r="K484" s="6" t="str">
        <f t="shared" si="15"/>
        <v>15 &lt;= 30 DIAS</v>
      </c>
      <c r="L484" s="7" t="str">
        <f>_xlfn.CONCAT(TEXT(MONTH(DATA[[#This Row],[FECHA DE VENCIMIENTO]]),"00"),"-",TEXT(DATA[[#This Row],[FECHA DE VENCIMIENTO]],"MMM"))</f>
        <v>11-Nov</v>
      </c>
    </row>
    <row r="485" spans="1:12" hidden="1" x14ac:dyDescent="0.3">
      <c r="A485" s="3">
        <v>44888</v>
      </c>
      <c r="B485" s="3">
        <v>44888</v>
      </c>
      <c r="C485" s="4">
        <f t="shared" si="14"/>
        <v>22</v>
      </c>
      <c r="D485" s="5" t="s">
        <v>1076</v>
      </c>
      <c r="E485" s="5">
        <v>46201144</v>
      </c>
      <c r="F485" s="5" t="s">
        <v>1075</v>
      </c>
      <c r="G485" s="5" t="s">
        <v>33</v>
      </c>
      <c r="H485" s="5" t="s">
        <v>7</v>
      </c>
      <c r="I485" s="31">
        <v>1212.6199999999999</v>
      </c>
      <c r="J485" s="31">
        <v>0</v>
      </c>
      <c r="K485" s="6" t="str">
        <f t="shared" si="15"/>
        <v>15 &lt;= 30 DIAS</v>
      </c>
      <c r="L485" s="7" t="str">
        <f>_xlfn.CONCAT(TEXT(MONTH(DATA[[#This Row],[FECHA DE VENCIMIENTO]]),"00"),"-",TEXT(DATA[[#This Row],[FECHA DE VENCIMIENTO]],"MMM"))</f>
        <v>11-Nov</v>
      </c>
    </row>
    <row r="486" spans="1:12" hidden="1" x14ac:dyDescent="0.3">
      <c r="A486" s="3">
        <v>44888</v>
      </c>
      <c r="B486" s="3">
        <v>44888</v>
      </c>
      <c r="C486" s="4">
        <f t="shared" si="14"/>
        <v>22</v>
      </c>
      <c r="D486" s="5" t="s">
        <v>1077</v>
      </c>
      <c r="E486" s="5">
        <v>46201144</v>
      </c>
      <c r="F486" s="5" t="s">
        <v>1075</v>
      </c>
      <c r="G486" s="5" t="s">
        <v>33</v>
      </c>
      <c r="H486" s="5" t="s">
        <v>29</v>
      </c>
      <c r="I486" s="31">
        <v>0</v>
      </c>
      <c r="J486" s="31">
        <v>70.8</v>
      </c>
      <c r="K486" s="6" t="str">
        <f t="shared" si="15"/>
        <v>15 &lt;= 30 DIAS</v>
      </c>
      <c r="L486" s="7" t="str">
        <f>_xlfn.CONCAT(TEXT(MONTH(DATA[[#This Row],[FECHA DE VENCIMIENTO]]),"00"),"-",TEXT(DATA[[#This Row],[FECHA DE VENCIMIENTO]],"MMM"))</f>
        <v>11-Nov</v>
      </c>
    </row>
    <row r="487" spans="1:12" hidden="1" x14ac:dyDescent="0.3">
      <c r="A487" s="3">
        <v>44859</v>
      </c>
      <c r="B487" s="3">
        <v>44889</v>
      </c>
      <c r="C487" s="4">
        <f t="shared" si="14"/>
        <v>21</v>
      </c>
      <c r="D487" s="5" t="s">
        <v>579</v>
      </c>
      <c r="E487" s="5">
        <v>20602565786</v>
      </c>
      <c r="F487" s="5" t="s">
        <v>580</v>
      </c>
      <c r="G487" s="5" t="s">
        <v>16</v>
      </c>
      <c r="H487" s="5" t="s">
        <v>7</v>
      </c>
      <c r="I487" s="31">
        <v>2596</v>
      </c>
      <c r="J487" s="31">
        <v>0</v>
      </c>
      <c r="K487" s="6" t="str">
        <f t="shared" si="15"/>
        <v>15 &lt;= 30 DIAS</v>
      </c>
      <c r="L487" s="7" t="str">
        <f>_xlfn.CONCAT(TEXT(MONTH(DATA[[#This Row],[FECHA DE VENCIMIENTO]]),"00"),"-",TEXT(DATA[[#This Row],[FECHA DE VENCIMIENTO]],"MMM"))</f>
        <v>11-Nov</v>
      </c>
    </row>
    <row r="488" spans="1:12" hidden="1" x14ac:dyDescent="0.3">
      <c r="A488" s="3">
        <v>44859</v>
      </c>
      <c r="B488" s="3">
        <v>44889</v>
      </c>
      <c r="C488" s="4">
        <f t="shared" si="14"/>
        <v>21</v>
      </c>
      <c r="D488" s="5" t="s">
        <v>686</v>
      </c>
      <c r="E488" s="5">
        <v>47055433</v>
      </c>
      <c r="F488" s="5" t="s">
        <v>687</v>
      </c>
      <c r="G488" s="5" t="s">
        <v>58</v>
      </c>
      <c r="H488" s="5" t="s">
        <v>29</v>
      </c>
      <c r="I488" s="31">
        <v>0</v>
      </c>
      <c r="J488" s="31">
        <v>590</v>
      </c>
      <c r="K488" s="6" t="str">
        <f t="shared" si="15"/>
        <v>15 &lt;= 30 DIAS</v>
      </c>
      <c r="L488" s="7" t="str">
        <f>_xlfn.CONCAT(TEXT(MONTH(DATA[[#This Row],[FECHA DE VENCIMIENTO]]),"00"),"-",TEXT(DATA[[#This Row],[FECHA DE VENCIMIENTO]],"MMM"))</f>
        <v>11-Nov</v>
      </c>
    </row>
    <row r="489" spans="1:12" hidden="1" x14ac:dyDescent="0.3">
      <c r="A489" s="3">
        <v>44859</v>
      </c>
      <c r="B489" s="3">
        <v>44889</v>
      </c>
      <c r="C489" s="4">
        <f t="shared" si="14"/>
        <v>21</v>
      </c>
      <c r="D489" s="5" t="s">
        <v>940</v>
      </c>
      <c r="E489" s="5">
        <v>20193112791</v>
      </c>
      <c r="F489" s="5" t="s">
        <v>941</v>
      </c>
      <c r="G489" s="5" t="s">
        <v>33</v>
      </c>
      <c r="H489" s="5" t="s">
        <v>7</v>
      </c>
      <c r="I489" s="31">
        <v>85</v>
      </c>
      <c r="J489" s="31">
        <v>0</v>
      </c>
      <c r="K489" s="6" t="str">
        <f t="shared" si="15"/>
        <v>15 &lt;= 30 DIAS</v>
      </c>
      <c r="L489" s="7" t="str">
        <f>_xlfn.CONCAT(TEXT(MONTH(DATA[[#This Row],[FECHA DE VENCIMIENTO]]),"00"),"-",TEXT(DATA[[#This Row],[FECHA DE VENCIMIENTO]],"MMM"))</f>
        <v>11-Nov</v>
      </c>
    </row>
    <row r="490" spans="1:12" hidden="1" x14ac:dyDescent="0.3">
      <c r="A490" s="3">
        <v>44859</v>
      </c>
      <c r="B490" s="3">
        <v>44889</v>
      </c>
      <c r="C490" s="4">
        <f t="shared" si="14"/>
        <v>21</v>
      </c>
      <c r="D490" s="5" t="s">
        <v>966</v>
      </c>
      <c r="E490" s="5">
        <v>20509902730</v>
      </c>
      <c r="F490" s="5" t="s">
        <v>381</v>
      </c>
      <c r="G490" s="5" t="s">
        <v>16</v>
      </c>
      <c r="H490" s="5" t="s">
        <v>29</v>
      </c>
      <c r="I490" s="31">
        <v>0</v>
      </c>
      <c r="J490" s="31">
        <v>118</v>
      </c>
      <c r="K490" s="6" t="str">
        <f t="shared" si="15"/>
        <v>15 &lt;= 30 DIAS</v>
      </c>
      <c r="L490" s="7" t="str">
        <f>_xlfn.CONCAT(TEXT(MONTH(DATA[[#This Row],[FECHA DE VENCIMIENTO]]),"00"),"-",TEXT(DATA[[#This Row],[FECHA DE VENCIMIENTO]],"MMM"))</f>
        <v>11-Nov</v>
      </c>
    </row>
    <row r="491" spans="1:12" hidden="1" x14ac:dyDescent="0.3">
      <c r="A491" s="3">
        <v>44859</v>
      </c>
      <c r="B491" s="3">
        <v>44889</v>
      </c>
      <c r="C491" s="4">
        <f t="shared" si="14"/>
        <v>21</v>
      </c>
      <c r="D491" s="5" t="s">
        <v>1165</v>
      </c>
      <c r="E491" s="5">
        <v>20516083647</v>
      </c>
      <c r="F491" s="5" t="s">
        <v>360</v>
      </c>
      <c r="G491" s="5" t="s">
        <v>16</v>
      </c>
      <c r="H491" s="5" t="s">
        <v>29</v>
      </c>
      <c r="I491" s="31">
        <v>0</v>
      </c>
      <c r="J491" s="31">
        <v>1972.96</v>
      </c>
      <c r="K491" s="6" t="str">
        <f t="shared" si="15"/>
        <v>15 &lt;= 30 DIAS</v>
      </c>
      <c r="L491" s="7" t="str">
        <f>_xlfn.CONCAT(TEXT(MONTH(DATA[[#This Row],[FECHA DE VENCIMIENTO]]),"00"),"-",TEXT(DATA[[#This Row],[FECHA DE VENCIMIENTO]],"MMM"))</f>
        <v>11-Nov</v>
      </c>
    </row>
    <row r="492" spans="1:12" hidden="1" x14ac:dyDescent="0.3">
      <c r="A492" s="3">
        <v>44860</v>
      </c>
      <c r="B492" s="3">
        <v>44890</v>
      </c>
      <c r="C492" s="4">
        <f t="shared" si="14"/>
        <v>20</v>
      </c>
      <c r="D492" s="5" t="s">
        <v>483</v>
      </c>
      <c r="E492" s="5">
        <v>20540079227</v>
      </c>
      <c r="F492" s="5" t="s">
        <v>482</v>
      </c>
      <c r="G492" s="5" t="s">
        <v>58</v>
      </c>
      <c r="H492" s="5" t="s">
        <v>7</v>
      </c>
      <c r="I492" s="31">
        <v>686.58</v>
      </c>
      <c r="J492" s="31">
        <v>0</v>
      </c>
      <c r="K492" s="6" t="str">
        <f t="shared" si="15"/>
        <v>15 &lt;= 30 DIAS</v>
      </c>
      <c r="L492" s="7" t="str">
        <f>_xlfn.CONCAT(TEXT(MONTH(DATA[[#This Row],[FECHA DE VENCIMIENTO]]),"00"),"-",TEXT(DATA[[#This Row],[FECHA DE VENCIMIENTO]],"MMM"))</f>
        <v>11-Nov</v>
      </c>
    </row>
    <row r="493" spans="1:12" hidden="1" x14ac:dyDescent="0.3">
      <c r="A493" s="3">
        <v>44860</v>
      </c>
      <c r="B493" s="3">
        <v>44890</v>
      </c>
      <c r="C493" s="4">
        <f t="shared" si="14"/>
        <v>20</v>
      </c>
      <c r="D493" s="5" t="s">
        <v>578</v>
      </c>
      <c r="E493" s="5">
        <v>20605834354</v>
      </c>
      <c r="F493" s="5" t="s">
        <v>576</v>
      </c>
      <c r="G493" s="5" t="s">
        <v>13</v>
      </c>
      <c r="H493" s="5" t="s">
        <v>7</v>
      </c>
      <c r="I493" s="31">
        <v>475.82</v>
      </c>
      <c r="J493" s="31">
        <v>0</v>
      </c>
      <c r="K493" s="6" t="str">
        <f t="shared" si="15"/>
        <v>15 &lt;= 30 DIAS</v>
      </c>
      <c r="L493" s="7" t="str">
        <f>_xlfn.CONCAT(TEXT(MONTH(DATA[[#This Row],[FECHA DE VENCIMIENTO]]),"00"),"-",TEXT(DATA[[#This Row],[FECHA DE VENCIMIENTO]],"MMM"))</f>
        <v>11-Nov</v>
      </c>
    </row>
    <row r="494" spans="1:12" ht="31.2" hidden="1" x14ac:dyDescent="0.3">
      <c r="A494" s="3">
        <v>44890</v>
      </c>
      <c r="B494" s="3">
        <v>44890</v>
      </c>
      <c r="C494" s="4">
        <f t="shared" si="14"/>
        <v>20</v>
      </c>
      <c r="D494" s="5" t="s">
        <v>603</v>
      </c>
      <c r="E494" s="5">
        <v>20494006678</v>
      </c>
      <c r="F494" s="5" t="s">
        <v>337</v>
      </c>
      <c r="G494" s="5" t="s">
        <v>46</v>
      </c>
      <c r="H494" s="5" t="s">
        <v>7</v>
      </c>
      <c r="I494" s="31">
        <v>2122.08</v>
      </c>
      <c r="J494" s="31">
        <v>0</v>
      </c>
      <c r="K494" s="6" t="str">
        <f t="shared" si="15"/>
        <v>15 &lt;= 30 DIAS</v>
      </c>
      <c r="L494" s="7" t="str">
        <f>_xlfn.CONCAT(TEXT(MONTH(DATA[[#This Row],[FECHA DE VENCIMIENTO]]),"00"),"-",TEXT(DATA[[#This Row],[FECHA DE VENCIMIENTO]],"MMM"))</f>
        <v>11-Nov</v>
      </c>
    </row>
    <row r="495" spans="1:12" hidden="1" x14ac:dyDescent="0.3">
      <c r="A495" s="3">
        <v>44830</v>
      </c>
      <c r="B495" s="3">
        <v>44890</v>
      </c>
      <c r="C495" s="4">
        <f t="shared" si="14"/>
        <v>20</v>
      </c>
      <c r="D495" s="5" t="s">
        <v>708</v>
      </c>
      <c r="E495" s="5">
        <v>20132373958</v>
      </c>
      <c r="F495" s="5" t="s">
        <v>697</v>
      </c>
      <c r="G495" s="5" t="s">
        <v>58</v>
      </c>
      <c r="H495" s="5" t="s">
        <v>7</v>
      </c>
      <c r="I495" s="31">
        <v>5054.83</v>
      </c>
      <c r="J495" s="31">
        <v>0</v>
      </c>
      <c r="K495" s="6" t="str">
        <f t="shared" si="15"/>
        <v>15 &lt;= 30 DIAS</v>
      </c>
      <c r="L495" s="7" t="str">
        <f>_xlfn.CONCAT(TEXT(MONTH(DATA[[#This Row],[FECHA DE VENCIMIENTO]]),"00"),"-",TEXT(DATA[[#This Row],[FECHA DE VENCIMIENTO]],"MMM"))</f>
        <v>11-Nov</v>
      </c>
    </row>
    <row r="496" spans="1:12" ht="31.2" hidden="1" x14ac:dyDescent="0.3">
      <c r="A496" s="3">
        <v>44860</v>
      </c>
      <c r="B496" s="3">
        <v>44890</v>
      </c>
      <c r="C496" s="4">
        <f t="shared" si="14"/>
        <v>20</v>
      </c>
      <c r="D496" s="5" t="s">
        <v>727</v>
      </c>
      <c r="E496" s="5">
        <v>20393851989</v>
      </c>
      <c r="F496" s="5" t="s">
        <v>726</v>
      </c>
      <c r="G496" s="5" t="s">
        <v>46</v>
      </c>
      <c r="H496" s="5" t="s">
        <v>29</v>
      </c>
      <c r="I496" s="31">
        <v>0</v>
      </c>
      <c r="J496" s="31">
        <v>162.84</v>
      </c>
      <c r="K496" s="6" t="str">
        <f t="shared" si="15"/>
        <v>15 &lt;= 30 DIAS</v>
      </c>
      <c r="L496" s="7" t="str">
        <f>_xlfn.CONCAT(TEXT(MONTH(DATA[[#This Row],[FECHA DE VENCIMIENTO]]),"00"),"-",TEXT(DATA[[#This Row],[FECHA DE VENCIMIENTO]],"MMM"))</f>
        <v>11-Nov</v>
      </c>
    </row>
    <row r="497" spans="1:12" ht="31.2" hidden="1" x14ac:dyDescent="0.3">
      <c r="A497" s="3">
        <v>44860</v>
      </c>
      <c r="B497" s="3">
        <v>44890</v>
      </c>
      <c r="C497" s="4">
        <f t="shared" si="14"/>
        <v>20</v>
      </c>
      <c r="D497" s="5" t="s">
        <v>795</v>
      </c>
      <c r="E497" s="5">
        <v>20450497950</v>
      </c>
      <c r="F497" s="5" t="s">
        <v>791</v>
      </c>
      <c r="G497" s="5" t="s">
        <v>46</v>
      </c>
      <c r="H497" s="5" t="s">
        <v>29</v>
      </c>
      <c r="I497" s="31">
        <v>0</v>
      </c>
      <c r="J497" s="31">
        <v>3090.42</v>
      </c>
      <c r="K497" s="6" t="str">
        <f t="shared" si="15"/>
        <v>15 &lt;= 30 DIAS</v>
      </c>
      <c r="L497" s="7" t="str">
        <f>_xlfn.CONCAT(TEXT(MONTH(DATA[[#This Row],[FECHA DE VENCIMIENTO]]),"00"),"-",TEXT(DATA[[#This Row],[FECHA DE VENCIMIENTO]],"MMM"))</f>
        <v>11-Nov</v>
      </c>
    </row>
    <row r="498" spans="1:12" ht="31.2" hidden="1" x14ac:dyDescent="0.3">
      <c r="A498" s="3">
        <v>44860</v>
      </c>
      <c r="B498" s="3">
        <v>44890</v>
      </c>
      <c r="C498" s="4">
        <f t="shared" si="14"/>
        <v>20</v>
      </c>
      <c r="D498" s="5" t="s">
        <v>978</v>
      </c>
      <c r="E498" s="5">
        <v>20393719100</v>
      </c>
      <c r="F498" s="5" t="s">
        <v>976</v>
      </c>
      <c r="G498" s="5" t="s">
        <v>46</v>
      </c>
      <c r="H498" s="5" t="s">
        <v>29</v>
      </c>
      <c r="I498" s="31">
        <v>0</v>
      </c>
      <c r="J498" s="31">
        <v>2183</v>
      </c>
      <c r="K498" s="6" t="str">
        <f t="shared" si="15"/>
        <v>15 &lt;= 30 DIAS</v>
      </c>
      <c r="L498" s="7" t="str">
        <f>_xlfn.CONCAT(TEXT(MONTH(DATA[[#This Row],[FECHA DE VENCIMIENTO]]),"00"),"-",TEXT(DATA[[#This Row],[FECHA DE VENCIMIENTO]],"MMM"))</f>
        <v>11-Nov</v>
      </c>
    </row>
    <row r="499" spans="1:12" ht="31.2" hidden="1" x14ac:dyDescent="0.3">
      <c r="A499" s="3">
        <v>44846</v>
      </c>
      <c r="B499" s="3">
        <v>44891</v>
      </c>
      <c r="C499" s="4">
        <f t="shared" si="14"/>
        <v>19</v>
      </c>
      <c r="D499" s="5" t="s">
        <v>468</v>
      </c>
      <c r="E499" s="5">
        <v>20542356317</v>
      </c>
      <c r="F499" s="5" t="s">
        <v>389</v>
      </c>
      <c r="G499" s="5" t="s">
        <v>46</v>
      </c>
      <c r="H499" s="5" t="s">
        <v>7</v>
      </c>
      <c r="I499" s="31">
        <v>6159.6</v>
      </c>
      <c r="J499" s="31">
        <v>0</v>
      </c>
      <c r="K499" s="6" t="str">
        <f t="shared" si="15"/>
        <v>15 &lt;= 30 DIAS</v>
      </c>
      <c r="L499" s="7" t="str">
        <f>_xlfn.CONCAT(TEXT(MONTH(DATA[[#This Row],[FECHA DE VENCIMIENTO]]),"00"),"-",TEXT(DATA[[#This Row],[FECHA DE VENCIMIENTO]],"MMM"))</f>
        <v>11-Nov</v>
      </c>
    </row>
    <row r="500" spans="1:12" hidden="1" x14ac:dyDescent="0.3">
      <c r="A500" s="3">
        <v>44831</v>
      </c>
      <c r="B500" s="3">
        <v>44891</v>
      </c>
      <c r="C500" s="4">
        <f t="shared" si="14"/>
        <v>19</v>
      </c>
      <c r="D500" s="5" t="s">
        <v>519</v>
      </c>
      <c r="E500" s="5">
        <v>20320731314</v>
      </c>
      <c r="F500" s="5" t="s">
        <v>331</v>
      </c>
      <c r="G500" s="5" t="s">
        <v>16</v>
      </c>
      <c r="H500" s="5" t="s">
        <v>29</v>
      </c>
      <c r="I500" s="31">
        <v>0</v>
      </c>
      <c r="J500" s="31">
        <v>1291.3900000000001</v>
      </c>
      <c r="K500" s="6" t="str">
        <f t="shared" si="15"/>
        <v>15 &lt;= 30 DIAS</v>
      </c>
      <c r="L500" s="7" t="str">
        <f>_xlfn.CONCAT(TEXT(MONTH(DATA[[#This Row],[FECHA DE VENCIMIENTO]]),"00"),"-",TEXT(DATA[[#This Row],[FECHA DE VENCIMIENTO]],"MMM"))</f>
        <v>11-Nov</v>
      </c>
    </row>
    <row r="501" spans="1:12" hidden="1" x14ac:dyDescent="0.3">
      <c r="A501" s="3">
        <v>44831</v>
      </c>
      <c r="B501" s="3">
        <v>44891</v>
      </c>
      <c r="C501" s="4">
        <f t="shared" si="14"/>
        <v>19</v>
      </c>
      <c r="D501" s="5" t="s">
        <v>532</v>
      </c>
      <c r="E501" s="5">
        <v>20320731314</v>
      </c>
      <c r="F501" s="5" t="s">
        <v>331</v>
      </c>
      <c r="G501" s="5" t="s">
        <v>16</v>
      </c>
      <c r="H501" s="5" t="s">
        <v>29</v>
      </c>
      <c r="I501" s="31">
        <v>0</v>
      </c>
      <c r="J501" s="31">
        <v>8477.1200000000008</v>
      </c>
      <c r="K501" s="6" t="str">
        <f t="shared" si="15"/>
        <v>15 &lt;= 30 DIAS</v>
      </c>
      <c r="L501" s="7" t="str">
        <f>_xlfn.CONCAT(TEXT(MONTH(DATA[[#This Row],[FECHA DE VENCIMIENTO]]),"00"),"-",TEXT(DATA[[#This Row],[FECHA DE VENCIMIENTO]],"MMM"))</f>
        <v>11-Nov</v>
      </c>
    </row>
    <row r="502" spans="1:12" hidden="1" x14ac:dyDescent="0.3">
      <c r="A502" s="3">
        <v>44861</v>
      </c>
      <c r="B502" s="3">
        <v>44891</v>
      </c>
      <c r="C502" s="4">
        <f t="shared" si="14"/>
        <v>19</v>
      </c>
      <c r="D502" s="5" t="s">
        <v>566</v>
      </c>
      <c r="E502" s="5">
        <v>20203252324</v>
      </c>
      <c r="F502" s="5" t="s">
        <v>565</v>
      </c>
      <c r="G502" s="5" t="s">
        <v>13</v>
      </c>
      <c r="H502" s="5" t="s">
        <v>29</v>
      </c>
      <c r="I502" s="31">
        <v>0</v>
      </c>
      <c r="J502" s="31">
        <v>415.36</v>
      </c>
      <c r="K502" s="6" t="str">
        <f t="shared" si="15"/>
        <v>15 &lt;= 30 DIAS</v>
      </c>
      <c r="L502" s="7" t="str">
        <f>_xlfn.CONCAT(TEXT(MONTH(DATA[[#This Row],[FECHA DE VENCIMIENTO]]),"00"),"-",TEXT(DATA[[#This Row],[FECHA DE VENCIMIENTO]],"MMM"))</f>
        <v>11-Nov</v>
      </c>
    </row>
    <row r="503" spans="1:12" ht="31.2" hidden="1" x14ac:dyDescent="0.3">
      <c r="A503" s="3">
        <v>44861</v>
      </c>
      <c r="B503" s="3">
        <v>44891</v>
      </c>
      <c r="C503" s="4">
        <f t="shared" si="14"/>
        <v>19</v>
      </c>
      <c r="D503" s="5" t="s">
        <v>775</v>
      </c>
      <c r="E503" s="5">
        <v>20135541703</v>
      </c>
      <c r="F503" s="5" t="s">
        <v>774</v>
      </c>
      <c r="G503" s="5" t="s">
        <v>46</v>
      </c>
      <c r="H503" s="5" t="s">
        <v>29</v>
      </c>
      <c r="I503" s="31">
        <v>0</v>
      </c>
      <c r="J503" s="31">
        <v>649</v>
      </c>
      <c r="K503" s="6" t="str">
        <f t="shared" si="15"/>
        <v>15 &lt;= 30 DIAS</v>
      </c>
      <c r="L503" s="7" t="str">
        <f>_xlfn.CONCAT(TEXT(MONTH(DATA[[#This Row],[FECHA DE VENCIMIENTO]]),"00"),"-",TEXT(DATA[[#This Row],[FECHA DE VENCIMIENTO]],"MMM"))</f>
        <v>11-Nov</v>
      </c>
    </row>
    <row r="504" spans="1:12" hidden="1" x14ac:dyDescent="0.3">
      <c r="A504" s="3">
        <v>44862</v>
      </c>
      <c r="B504" s="3">
        <v>44892</v>
      </c>
      <c r="C504" s="4">
        <f t="shared" si="14"/>
        <v>18</v>
      </c>
      <c r="D504" s="5" t="s">
        <v>451</v>
      </c>
      <c r="E504" s="5">
        <v>20601494095</v>
      </c>
      <c r="F504" s="5" t="s">
        <v>447</v>
      </c>
      <c r="G504" s="5" t="s">
        <v>26</v>
      </c>
      <c r="H504" s="5" t="s">
        <v>29</v>
      </c>
      <c r="I504" s="31">
        <v>0</v>
      </c>
      <c r="J504" s="31">
        <v>159.30000000000001</v>
      </c>
      <c r="K504" s="6" t="str">
        <f t="shared" si="15"/>
        <v>15 &lt;= 30 DIAS</v>
      </c>
      <c r="L504" s="7" t="str">
        <f>_xlfn.CONCAT(TEXT(MONTH(DATA[[#This Row],[FECHA DE VENCIMIENTO]]),"00"),"-",TEXT(DATA[[#This Row],[FECHA DE VENCIMIENTO]],"MMM"))</f>
        <v>11-Nov</v>
      </c>
    </row>
    <row r="505" spans="1:12" hidden="1" x14ac:dyDescent="0.3">
      <c r="A505" s="3">
        <v>44847</v>
      </c>
      <c r="B505" s="3">
        <v>44892</v>
      </c>
      <c r="C505" s="4">
        <f t="shared" si="14"/>
        <v>18</v>
      </c>
      <c r="D505" s="5" t="s">
        <v>618</v>
      </c>
      <c r="E505" s="5">
        <v>20600194144</v>
      </c>
      <c r="F505" s="5" t="s">
        <v>616</v>
      </c>
      <c r="G505" s="5" t="s">
        <v>13</v>
      </c>
      <c r="H505" s="5" t="s">
        <v>29</v>
      </c>
      <c r="I505" s="31">
        <v>0</v>
      </c>
      <c r="J505" s="31">
        <v>2404.25</v>
      </c>
      <c r="K505" s="6" t="str">
        <f t="shared" si="15"/>
        <v>15 &lt;= 30 DIAS</v>
      </c>
      <c r="L505" s="7" t="str">
        <f>_xlfn.CONCAT(TEXT(MONTH(DATA[[#This Row],[FECHA DE VENCIMIENTO]]),"00"),"-",TEXT(DATA[[#This Row],[FECHA DE VENCIMIENTO]],"MMM"))</f>
        <v>11-Nov</v>
      </c>
    </row>
    <row r="506" spans="1:12" hidden="1" x14ac:dyDescent="0.3">
      <c r="A506" s="3">
        <v>44886</v>
      </c>
      <c r="B506" s="3">
        <v>44893</v>
      </c>
      <c r="C506" s="4">
        <f t="shared" si="14"/>
        <v>17</v>
      </c>
      <c r="D506" s="5" t="s">
        <v>673</v>
      </c>
      <c r="E506" s="5">
        <v>20601908701</v>
      </c>
      <c r="F506" s="5" t="s">
        <v>672</v>
      </c>
      <c r="G506" s="5" t="s">
        <v>13</v>
      </c>
      <c r="H506" s="5" t="s">
        <v>7</v>
      </c>
      <c r="I506" s="31">
        <v>2345.1999999999998</v>
      </c>
      <c r="J506" s="31">
        <v>0</v>
      </c>
      <c r="K506" s="6" t="str">
        <f t="shared" si="15"/>
        <v>15 &lt;= 30 DIAS</v>
      </c>
      <c r="L506" s="7" t="str">
        <f>_xlfn.CONCAT(TEXT(MONTH(DATA[[#This Row],[FECHA DE VENCIMIENTO]]),"00"),"-",TEXT(DATA[[#This Row],[FECHA DE VENCIMIENTO]],"MMM"))</f>
        <v>11-Nov</v>
      </c>
    </row>
    <row r="507" spans="1:12" hidden="1" x14ac:dyDescent="0.3">
      <c r="A507" s="3">
        <v>44886</v>
      </c>
      <c r="B507" s="3">
        <v>44893</v>
      </c>
      <c r="C507" s="4">
        <f t="shared" si="14"/>
        <v>17</v>
      </c>
      <c r="D507" s="5" t="s">
        <v>678</v>
      </c>
      <c r="E507" s="5">
        <v>20602148948</v>
      </c>
      <c r="F507" s="5" t="s">
        <v>676</v>
      </c>
      <c r="G507" s="5" t="s">
        <v>13</v>
      </c>
      <c r="H507" s="5" t="s">
        <v>7</v>
      </c>
      <c r="I507" s="31">
        <v>2421.25</v>
      </c>
      <c r="J507" s="31">
        <v>0</v>
      </c>
      <c r="K507" s="6" t="str">
        <f t="shared" si="15"/>
        <v>15 &lt;= 30 DIAS</v>
      </c>
      <c r="L507" s="7" t="str">
        <f>_xlfn.CONCAT(TEXT(MONTH(DATA[[#This Row],[FECHA DE VENCIMIENTO]]),"00"),"-",TEXT(DATA[[#This Row],[FECHA DE VENCIMIENTO]],"MMM"))</f>
        <v>11-Nov</v>
      </c>
    </row>
    <row r="508" spans="1:12" hidden="1" x14ac:dyDescent="0.3">
      <c r="A508" s="3">
        <v>44893</v>
      </c>
      <c r="B508" s="3">
        <v>44893</v>
      </c>
      <c r="C508" s="4">
        <f t="shared" si="14"/>
        <v>17</v>
      </c>
      <c r="D508" s="5" t="s">
        <v>1115</v>
      </c>
      <c r="E508" s="5">
        <v>20452351227</v>
      </c>
      <c r="F508" s="5" t="s">
        <v>1116</v>
      </c>
      <c r="G508" s="5" t="s">
        <v>13</v>
      </c>
      <c r="H508" s="5" t="s">
        <v>29</v>
      </c>
      <c r="I508" s="31">
        <v>0</v>
      </c>
      <c r="J508" s="31">
        <v>1664.01</v>
      </c>
      <c r="K508" s="6" t="str">
        <f t="shared" si="15"/>
        <v>15 &lt;= 30 DIAS</v>
      </c>
      <c r="L508" s="7" t="str">
        <f>_xlfn.CONCAT(TEXT(MONTH(DATA[[#This Row],[FECHA DE VENCIMIENTO]]),"00"),"-",TEXT(DATA[[#This Row],[FECHA DE VENCIMIENTO]],"MMM"))</f>
        <v>11-Nov</v>
      </c>
    </row>
    <row r="509" spans="1:12" hidden="1" x14ac:dyDescent="0.3">
      <c r="A509" s="3">
        <v>44834</v>
      </c>
      <c r="B509" s="3">
        <v>44894</v>
      </c>
      <c r="C509" s="4">
        <f t="shared" si="14"/>
        <v>16</v>
      </c>
      <c r="D509" s="5" t="s">
        <v>530</v>
      </c>
      <c r="E509" s="5">
        <v>20320731314</v>
      </c>
      <c r="F509" s="5" t="s">
        <v>331</v>
      </c>
      <c r="G509" s="5" t="s">
        <v>16</v>
      </c>
      <c r="H509" s="5" t="s">
        <v>29</v>
      </c>
      <c r="I509" s="31">
        <v>0</v>
      </c>
      <c r="J509" s="31">
        <v>8477.1200000000008</v>
      </c>
      <c r="K509" s="6" t="str">
        <f t="shared" si="15"/>
        <v>15 &lt;= 30 DIAS</v>
      </c>
      <c r="L509" s="7" t="str">
        <f>_xlfn.CONCAT(TEXT(MONTH(DATA[[#This Row],[FECHA DE VENCIMIENTO]]),"00"),"-",TEXT(DATA[[#This Row],[FECHA DE VENCIMIENTO]],"MMM"))</f>
        <v>11-Nov</v>
      </c>
    </row>
    <row r="510" spans="1:12" hidden="1" x14ac:dyDescent="0.3">
      <c r="A510" s="3">
        <v>44894</v>
      </c>
      <c r="B510" s="3">
        <v>44894</v>
      </c>
      <c r="C510" s="4">
        <f t="shared" si="14"/>
        <v>16</v>
      </c>
      <c r="D510" s="5" t="s">
        <v>639</v>
      </c>
      <c r="E510" s="5">
        <v>20609553783</v>
      </c>
      <c r="F510" s="5" t="s">
        <v>640</v>
      </c>
      <c r="G510" s="5" t="s">
        <v>13</v>
      </c>
      <c r="H510" s="5" t="s">
        <v>29</v>
      </c>
      <c r="I510" s="31">
        <v>0</v>
      </c>
      <c r="J510" s="31">
        <v>140.13</v>
      </c>
      <c r="K510" s="6" t="str">
        <f t="shared" si="15"/>
        <v>15 &lt;= 30 DIAS</v>
      </c>
      <c r="L510" s="7" t="str">
        <f>_xlfn.CONCAT(TEXT(MONTH(DATA[[#This Row],[FECHA DE VENCIMIENTO]]),"00"),"-",TEXT(DATA[[#This Row],[FECHA DE VENCIMIENTO]],"MMM"))</f>
        <v>11-Nov</v>
      </c>
    </row>
    <row r="511" spans="1:12" hidden="1" x14ac:dyDescent="0.3">
      <c r="A511" s="3">
        <v>44834</v>
      </c>
      <c r="B511" s="3">
        <v>44894</v>
      </c>
      <c r="C511" s="4">
        <f t="shared" si="14"/>
        <v>16</v>
      </c>
      <c r="D511" s="5" t="s">
        <v>706</v>
      </c>
      <c r="E511" s="5">
        <v>20132373958</v>
      </c>
      <c r="F511" s="5" t="s">
        <v>697</v>
      </c>
      <c r="G511" s="5" t="s">
        <v>58</v>
      </c>
      <c r="H511" s="5" t="s">
        <v>7</v>
      </c>
      <c r="I511" s="31">
        <v>9450.33</v>
      </c>
      <c r="J511" s="31">
        <v>0</v>
      </c>
      <c r="K511" s="6" t="str">
        <f t="shared" si="15"/>
        <v>15 &lt;= 30 DIAS</v>
      </c>
      <c r="L511" s="7" t="str">
        <f>_xlfn.CONCAT(TEXT(MONTH(DATA[[#This Row],[FECHA DE VENCIMIENTO]]),"00"),"-",TEXT(DATA[[#This Row],[FECHA DE VENCIMIENTO]],"MMM"))</f>
        <v>11-Nov</v>
      </c>
    </row>
    <row r="512" spans="1:12" ht="31.2" hidden="1" x14ac:dyDescent="0.3">
      <c r="A512" s="3">
        <v>44834</v>
      </c>
      <c r="B512" s="3">
        <v>44894</v>
      </c>
      <c r="C512" s="4">
        <f t="shared" si="14"/>
        <v>16</v>
      </c>
      <c r="D512" s="5" t="s">
        <v>767</v>
      </c>
      <c r="E512" s="5">
        <v>20494022797</v>
      </c>
      <c r="F512" s="5" t="s">
        <v>377</v>
      </c>
      <c r="G512" s="5" t="s">
        <v>46</v>
      </c>
      <c r="H512" s="5" t="s">
        <v>7</v>
      </c>
      <c r="I512" s="31">
        <v>5656.04</v>
      </c>
      <c r="J512" s="31">
        <v>0</v>
      </c>
      <c r="K512" s="6" t="str">
        <f t="shared" si="15"/>
        <v>15 &lt;= 30 DIAS</v>
      </c>
      <c r="L512" s="7" t="str">
        <f>_xlfn.CONCAT(TEXT(MONTH(DATA[[#This Row],[FECHA DE VENCIMIENTO]]),"00"),"-",TEXT(DATA[[#This Row],[FECHA DE VENCIMIENTO]],"MMM"))</f>
        <v>11-Nov</v>
      </c>
    </row>
    <row r="513" spans="1:12" hidden="1" x14ac:dyDescent="0.3">
      <c r="A513" s="3">
        <v>44834</v>
      </c>
      <c r="B513" s="3">
        <v>44894</v>
      </c>
      <c r="C513" s="4">
        <f t="shared" si="14"/>
        <v>16</v>
      </c>
      <c r="D513" s="5" t="s">
        <v>903</v>
      </c>
      <c r="E513" s="5">
        <v>20155261570</v>
      </c>
      <c r="F513" s="5" t="s">
        <v>355</v>
      </c>
      <c r="G513" s="5" t="s">
        <v>13</v>
      </c>
      <c r="H513" s="5" t="s">
        <v>7</v>
      </c>
      <c r="I513" s="31">
        <v>545.16</v>
      </c>
      <c r="J513" s="31">
        <v>0</v>
      </c>
      <c r="K513" s="6" t="str">
        <f t="shared" si="15"/>
        <v>15 &lt;= 30 DIAS</v>
      </c>
      <c r="L513" s="7" t="str">
        <f>_xlfn.CONCAT(TEXT(MONTH(DATA[[#This Row],[FECHA DE VENCIMIENTO]]),"00"),"-",TEXT(DATA[[#This Row],[FECHA DE VENCIMIENTO]],"MMM"))</f>
        <v>11-Nov</v>
      </c>
    </row>
    <row r="514" spans="1:12" hidden="1" x14ac:dyDescent="0.3">
      <c r="A514" s="3">
        <v>44894</v>
      </c>
      <c r="B514" s="3">
        <v>44894</v>
      </c>
      <c r="C514" s="4">
        <f t="shared" si="14"/>
        <v>16</v>
      </c>
      <c r="D514" s="5" t="s">
        <v>960</v>
      </c>
      <c r="E514" s="5">
        <v>20534627310</v>
      </c>
      <c r="F514" s="5" t="s">
        <v>957</v>
      </c>
      <c r="G514" s="5" t="s">
        <v>13</v>
      </c>
      <c r="H514" s="5" t="s">
        <v>7</v>
      </c>
      <c r="I514" s="31">
        <v>1447.1</v>
      </c>
      <c r="J514" s="31">
        <v>0</v>
      </c>
      <c r="K514" s="6" t="str">
        <f t="shared" si="15"/>
        <v>15 &lt;= 30 DIAS</v>
      </c>
      <c r="L514" s="7" t="str">
        <f>_xlfn.CONCAT(TEXT(MONTH(DATA[[#This Row],[FECHA DE VENCIMIENTO]]),"00"),"-",TEXT(DATA[[#This Row],[FECHA DE VENCIMIENTO]],"MMM"))</f>
        <v>11-Nov</v>
      </c>
    </row>
    <row r="515" spans="1:12" hidden="1" x14ac:dyDescent="0.3">
      <c r="A515" s="3">
        <v>44774</v>
      </c>
      <c r="B515" s="3">
        <v>44894</v>
      </c>
      <c r="C515" s="4">
        <f t="shared" si="14"/>
        <v>16</v>
      </c>
      <c r="D515" s="5" t="s">
        <v>1221</v>
      </c>
      <c r="E515" s="5">
        <v>20100154308</v>
      </c>
      <c r="F515" s="5" t="s">
        <v>1217</v>
      </c>
      <c r="G515" s="5" t="s">
        <v>16</v>
      </c>
      <c r="H515" s="5" t="s">
        <v>7</v>
      </c>
      <c r="I515" s="31">
        <v>61.95</v>
      </c>
      <c r="J515" s="31">
        <v>0</v>
      </c>
      <c r="K515" s="6" t="str">
        <f t="shared" si="15"/>
        <v>15 &lt;= 30 DIAS</v>
      </c>
      <c r="L515" s="7" t="str">
        <f>_xlfn.CONCAT(TEXT(MONTH(DATA[[#This Row],[FECHA DE VENCIMIENTO]]),"00"),"-",TEXT(DATA[[#This Row],[FECHA DE VENCIMIENTO]],"MMM"))</f>
        <v>11-Nov</v>
      </c>
    </row>
    <row r="516" spans="1:12" hidden="1" x14ac:dyDescent="0.3">
      <c r="A516" s="3">
        <v>44774</v>
      </c>
      <c r="B516" s="3">
        <v>44894</v>
      </c>
      <c r="C516" s="4">
        <f t="shared" ref="C516:C579" si="16">$E$2-B516</f>
        <v>16</v>
      </c>
      <c r="D516" s="5" t="s">
        <v>1222</v>
      </c>
      <c r="E516" s="5">
        <v>20100154308</v>
      </c>
      <c r="F516" s="5" t="s">
        <v>1217</v>
      </c>
      <c r="G516" s="5" t="s">
        <v>16</v>
      </c>
      <c r="H516" s="5" t="s">
        <v>7</v>
      </c>
      <c r="I516" s="31">
        <v>8878.32</v>
      </c>
      <c r="J516" s="31">
        <v>0</v>
      </c>
      <c r="K516" s="6" t="str">
        <f t="shared" ref="K516:K579" si="17">IF(C516&gt;180,"180 &lt;= 360 DIAS",IF(C516&gt;90,"90 &lt;= 180 DIAS",IF(C516&gt;60,"60 &lt;= 90 DIAS",IF(C516&gt;30,"30 &lt;= 60 DIAS",IF(C516&gt;15,"15 &lt;= 30 DIAS","1-POR VENCER")))))</f>
        <v>15 &lt;= 30 DIAS</v>
      </c>
      <c r="L516" s="7" t="str">
        <f>_xlfn.CONCAT(TEXT(MONTH(DATA[[#This Row],[FECHA DE VENCIMIENTO]]),"00"),"-",TEXT(DATA[[#This Row],[FECHA DE VENCIMIENTO]],"MMM"))</f>
        <v>11-Nov</v>
      </c>
    </row>
    <row r="517" spans="1:12" hidden="1" x14ac:dyDescent="0.3">
      <c r="A517" s="3">
        <v>44834</v>
      </c>
      <c r="B517" s="3">
        <v>44894</v>
      </c>
      <c r="C517" s="4">
        <f t="shared" si="16"/>
        <v>16</v>
      </c>
      <c r="D517" s="5" t="s">
        <v>1274</v>
      </c>
      <c r="E517" s="5">
        <v>20609609711</v>
      </c>
      <c r="F517" s="5" t="s">
        <v>1272</v>
      </c>
      <c r="G517" s="5" t="s">
        <v>13</v>
      </c>
      <c r="H517" s="5" t="s">
        <v>7</v>
      </c>
      <c r="I517" s="31">
        <v>7975.86</v>
      </c>
      <c r="J517" s="31">
        <v>0</v>
      </c>
      <c r="K517" s="6" t="str">
        <f t="shared" si="17"/>
        <v>15 &lt;= 30 DIAS</v>
      </c>
      <c r="L517" s="7" t="str">
        <f>_xlfn.CONCAT(TEXT(MONTH(DATA[[#This Row],[FECHA DE VENCIMIENTO]]),"00"),"-",TEXT(DATA[[#This Row],[FECHA DE VENCIMIENTO]],"MMM"))</f>
        <v>11-Nov</v>
      </c>
    </row>
    <row r="518" spans="1:12" hidden="1" x14ac:dyDescent="0.3">
      <c r="A518" s="3">
        <v>44865</v>
      </c>
      <c r="B518" s="3">
        <v>44895</v>
      </c>
      <c r="C518" s="4">
        <f t="shared" si="16"/>
        <v>15</v>
      </c>
      <c r="D518" s="5" t="s">
        <v>448</v>
      </c>
      <c r="E518" s="5">
        <v>20601494095</v>
      </c>
      <c r="F518" s="5" t="s">
        <v>447</v>
      </c>
      <c r="G518" s="5" t="s">
        <v>26</v>
      </c>
      <c r="H518" s="5" t="s">
        <v>7</v>
      </c>
      <c r="I518" s="31">
        <v>495.6</v>
      </c>
      <c r="J518" s="31">
        <v>0</v>
      </c>
      <c r="K518" s="6" t="str">
        <f t="shared" si="17"/>
        <v>1-POR VENCER</v>
      </c>
      <c r="L518" s="7" t="str">
        <f>_xlfn.CONCAT(TEXT(MONTH(DATA[[#This Row],[FECHA DE VENCIMIENTO]]),"00"),"-",TEXT(DATA[[#This Row],[FECHA DE VENCIMIENTO]],"MMM"))</f>
        <v>11-Nov</v>
      </c>
    </row>
    <row r="519" spans="1:12" hidden="1" x14ac:dyDescent="0.3">
      <c r="A519" s="3">
        <v>44865</v>
      </c>
      <c r="B519" s="3">
        <v>44895</v>
      </c>
      <c r="C519" s="4">
        <f t="shared" si="16"/>
        <v>15</v>
      </c>
      <c r="D519" s="5" t="s">
        <v>449</v>
      </c>
      <c r="E519" s="5">
        <v>20601494095</v>
      </c>
      <c r="F519" s="5" t="s">
        <v>447</v>
      </c>
      <c r="G519" s="5" t="s">
        <v>26</v>
      </c>
      <c r="H519" s="5" t="s">
        <v>7</v>
      </c>
      <c r="I519" s="31">
        <v>259.60000000000002</v>
      </c>
      <c r="J519" s="31">
        <v>0</v>
      </c>
      <c r="K519" s="6" t="str">
        <f t="shared" si="17"/>
        <v>1-POR VENCER</v>
      </c>
      <c r="L519" s="7" t="str">
        <f>_xlfn.CONCAT(TEXT(MONTH(DATA[[#This Row],[FECHA DE VENCIMIENTO]]),"00"),"-",TEXT(DATA[[#This Row],[FECHA DE VENCIMIENTO]],"MMM"))</f>
        <v>11-Nov</v>
      </c>
    </row>
    <row r="520" spans="1:12" hidden="1" x14ac:dyDescent="0.3">
      <c r="A520" s="3">
        <v>44865</v>
      </c>
      <c r="B520" s="3">
        <v>44895</v>
      </c>
      <c r="C520" s="4">
        <f t="shared" si="16"/>
        <v>15</v>
      </c>
      <c r="D520" s="5" t="s">
        <v>502</v>
      </c>
      <c r="E520" s="5">
        <v>20320731314</v>
      </c>
      <c r="F520" s="5" t="s">
        <v>331</v>
      </c>
      <c r="G520" s="5" t="s">
        <v>16</v>
      </c>
      <c r="H520" s="5" t="s">
        <v>29</v>
      </c>
      <c r="I520" s="31">
        <v>0</v>
      </c>
      <c r="J520" s="31">
        <v>8477.1200000000008</v>
      </c>
      <c r="K520" s="6" t="str">
        <f t="shared" si="17"/>
        <v>1-POR VENCER</v>
      </c>
      <c r="L520" s="7" t="str">
        <f>_xlfn.CONCAT(TEXT(MONTH(DATA[[#This Row],[FECHA DE VENCIMIENTO]]),"00"),"-",TEXT(DATA[[#This Row],[FECHA DE VENCIMIENTO]],"MMM"))</f>
        <v>11-Nov</v>
      </c>
    </row>
    <row r="521" spans="1:12" hidden="1" x14ac:dyDescent="0.3">
      <c r="A521" s="3">
        <v>44865</v>
      </c>
      <c r="B521" s="3">
        <v>44895</v>
      </c>
      <c r="C521" s="4">
        <f t="shared" si="16"/>
        <v>15</v>
      </c>
      <c r="D521" s="5" t="s">
        <v>503</v>
      </c>
      <c r="E521" s="5">
        <v>20320731314</v>
      </c>
      <c r="F521" s="5" t="s">
        <v>331</v>
      </c>
      <c r="G521" s="5" t="s">
        <v>16</v>
      </c>
      <c r="H521" s="5" t="s">
        <v>29</v>
      </c>
      <c r="I521" s="31">
        <v>0</v>
      </c>
      <c r="J521" s="31">
        <v>8477.1200000000008</v>
      </c>
      <c r="K521" s="6" t="str">
        <f t="shared" si="17"/>
        <v>1-POR VENCER</v>
      </c>
      <c r="L521" s="7" t="str">
        <f>_xlfn.CONCAT(TEXT(MONTH(DATA[[#This Row],[FECHA DE VENCIMIENTO]]),"00"),"-",TEXT(DATA[[#This Row],[FECHA DE VENCIMIENTO]],"MMM"))</f>
        <v>11-Nov</v>
      </c>
    </row>
    <row r="522" spans="1:12" hidden="1" x14ac:dyDescent="0.3">
      <c r="A522" s="3">
        <v>44880</v>
      </c>
      <c r="B522" s="3">
        <v>44895</v>
      </c>
      <c r="C522" s="4">
        <f t="shared" si="16"/>
        <v>15</v>
      </c>
      <c r="D522" s="5" t="s">
        <v>688</v>
      </c>
      <c r="E522" s="5">
        <v>29532091</v>
      </c>
      <c r="F522" s="5" t="s">
        <v>689</v>
      </c>
      <c r="G522" s="5" t="s">
        <v>33</v>
      </c>
      <c r="H522" s="5" t="s">
        <v>7</v>
      </c>
      <c r="I522" s="31">
        <v>620.28</v>
      </c>
      <c r="J522" s="31">
        <v>0</v>
      </c>
      <c r="K522" s="6" t="str">
        <f t="shared" si="17"/>
        <v>1-POR VENCER</v>
      </c>
      <c r="L522" s="7" t="str">
        <f>_xlfn.CONCAT(TEXT(MONTH(DATA[[#This Row],[FECHA DE VENCIMIENTO]]),"00"),"-",TEXT(DATA[[#This Row],[FECHA DE VENCIMIENTO]],"MMM"))</f>
        <v>11-Nov</v>
      </c>
    </row>
    <row r="523" spans="1:12" hidden="1" x14ac:dyDescent="0.3">
      <c r="A523" s="3">
        <v>44895</v>
      </c>
      <c r="B523" s="3">
        <v>44895</v>
      </c>
      <c r="C523" s="4">
        <f t="shared" si="16"/>
        <v>15</v>
      </c>
      <c r="D523" s="5" t="s">
        <v>817</v>
      </c>
      <c r="E523" s="5">
        <v>20607608785</v>
      </c>
      <c r="F523" s="5" t="s">
        <v>818</v>
      </c>
      <c r="G523" s="5" t="s">
        <v>33</v>
      </c>
      <c r="H523" s="5" t="s">
        <v>7</v>
      </c>
      <c r="I523" s="31">
        <v>166.02</v>
      </c>
      <c r="J523" s="31">
        <v>0</v>
      </c>
      <c r="K523" s="6" t="str">
        <f t="shared" si="17"/>
        <v>1-POR VENCER</v>
      </c>
      <c r="L523" s="7" t="str">
        <f>_xlfn.CONCAT(TEXT(MONTH(DATA[[#This Row],[FECHA DE VENCIMIENTO]]),"00"),"-",TEXT(DATA[[#This Row],[FECHA DE VENCIMIENTO]],"MMM"))</f>
        <v>11-Nov</v>
      </c>
    </row>
    <row r="524" spans="1:12" ht="31.2" hidden="1" x14ac:dyDescent="0.3">
      <c r="A524" s="3">
        <v>44859</v>
      </c>
      <c r="B524" s="3">
        <v>44895</v>
      </c>
      <c r="C524" s="4">
        <f t="shared" si="16"/>
        <v>15</v>
      </c>
      <c r="D524" s="5" t="s">
        <v>936</v>
      </c>
      <c r="E524" s="5">
        <v>20533031707</v>
      </c>
      <c r="F524" s="5" t="s">
        <v>935</v>
      </c>
      <c r="G524" s="5" t="s">
        <v>33</v>
      </c>
      <c r="H524" s="5" t="s">
        <v>7</v>
      </c>
      <c r="I524" s="31">
        <v>85</v>
      </c>
      <c r="J524" s="31">
        <v>0</v>
      </c>
      <c r="K524" s="6" t="str">
        <f t="shared" si="17"/>
        <v>1-POR VENCER</v>
      </c>
      <c r="L524" s="7" t="str">
        <f>_xlfn.CONCAT(TEXT(MONTH(DATA[[#This Row],[FECHA DE VENCIMIENTO]]),"00"),"-",TEXT(DATA[[#This Row],[FECHA DE VENCIMIENTO]],"MMM"))</f>
        <v>11-Nov</v>
      </c>
    </row>
    <row r="525" spans="1:12" hidden="1" x14ac:dyDescent="0.3">
      <c r="A525" s="3">
        <v>44865</v>
      </c>
      <c r="B525" s="3">
        <v>44895</v>
      </c>
      <c r="C525" s="4">
        <f t="shared" si="16"/>
        <v>15</v>
      </c>
      <c r="D525" s="5" t="s">
        <v>1012</v>
      </c>
      <c r="E525" s="5">
        <v>20455924724</v>
      </c>
      <c r="F525" s="5" t="s">
        <v>1011</v>
      </c>
      <c r="G525" s="5" t="s">
        <v>33</v>
      </c>
      <c r="H525" s="5" t="s">
        <v>7</v>
      </c>
      <c r="I525" s="31">
        <v>2849.46</v>
      </c>
      <c r="J525" s="31">
        <v>0</v>
      </c>
      <c r="K525" s="6" t="str">
        <f t="shared" si="17"/>
        <v>1-POR VENCER</v>
      </c>
      <c r="L525" s="7" t="str">
        <f>_xlfn.CONCAT(TEXT(MONTH(DATA[[#This Row],[FECHA DE VENCIMIENTO]]),"00"),"-",TEXT(DATA[[#This Row],[FECHA DE VENCIMIENTO]],"MMM"))</f>
        <v>11-Nov</v>
      </c>
    </row>
    <row r="526" spans="1:12" hidden="1" x14ac:dyDescent="0.3">
      <c r="A526" s="3">
        <v>44865</v>
      </c>
      <c r="B526" s="3">
        <v>44895</v>
      </c>
      <c r="C526" s="4">
        <f t="shared" si="16"/>
        <v>15</v>
      </c>
      <c r="D526" s="5" t="s">
        <v>1019</v>
      </c>
      <c r="E526" s="5">
        <v>20468261082</v>
      </c>
      <c r="F526" s="5" t="s">
        <v>161</v>
      </c>
      <c r="G526" s="5" t="s">
        <v>26</v>
      </c>
      <c r="H526" s="5" t="s">
        <v>7</v>
      </c>
      <c r="I526" s="31">
        <v>8363.25</v>
      </c>
      <c r="J526" s="31">
        <v>0</v>
      </c>
      <c r="K526" s="6" t="str">
        <f t="shared" si="17"/>
        <v>1-POR VENCER</v>
      </c>
      <c r="L526" s="7" t="str">
        <f>_xlfn.CONCAT(TEXT(MONTH(DATA[[#This Row],[FECHA DE VENCIMIENTO]]),"00"),"-",TEXT(DATA[[#This Row],[FECHA DE VENCIMIENTO]],"MMM"))</f>
        <v>11-Nov</v>
      </c>
    </row>
    <row r="527" spans="1:12" hidden="1" x14ac:dyDescent="0.3">
      <c r="A527" s="3">
        <v>44865</v>
      </c>
      <c r="B527" s="3">
        <v>44895</v>
      </c>
      <c r="C527" s="4">
        <f t="shared" si="16"/>
        <v>15</v>
      </c>
      <c r="D527" s="5" t="s">
        <v>1022</v>
      </c>
      <c r="E527" s="5">
        <v>20468261082</v>
      </c>
      <c r="F527" s="5" t="s">
        <v>161</v>
      </c>
      <c r="G527" s="5" t="s">
        <v>26</v>
      </c>
      <c r="H527" s="5" t="s">
        <v>7</v>
      </c>
      <c r="I527" s="31">
        <v>188.8</v>
      </c>
      <c r="J527" s="31">
        <v>0</v>
      </c>
      <c r="K527" s="6" t="str">
        <f t="shared" si="17"/>
        <v>1-POR VENCER</v>
      </c>
      <c r="L527" s="7" t="str">
        <f>_xlfn.CONCAT(TEXT(MONTH(DATA[[#This Row],[FECHA DE VENCIMIENTO]]),"00"),"-",TEXT(DATA[[#This Row],[FECHA DE VENCIMIENTO]],"MMM"))</f>
        <v>11-Nov</v>
      </c>
    </row>
    <row r="528" spans="1:12" hidden="1" x14ac:dyDescent="0.3">
      <c r="A528" s="3">
        <v>44865</v>
      </c>
      <c r="B528" s="3">
        <v>44895</v>
      </c>
      <c r="C528" s="4">
        <f t="shared" si="16"/>
        <v>15</v>
      </c>
      <c r="D528" s="5" t="s">
        <v>1024</v>
      </c>
      <c r="E528" s="5">
        <v>20468261082</v>
      </c>
      <c r="F528" s="5" t="s">
        <v>161</v>
      </c>
      <c r="G528" s="5" t="s">
        <v>26</v>
      </c>
      <c r="H528" s="5" t="s">
        <v>7</v>
      </c>
      <c r="I528" s="31">
        <v>236</v>
      </c>
      <c r="J528" s="31">
        <v>0</v>
      </c>
      <c r="K528" s="6" t="str">
        <f t="shared" si="17"/>
        <v>1-POR VENCER</v>
      </c>
      <c r="L528" s="7" t="str">
        <f>_xlfn.CONCAT(TEXT(MONTH(DATA[[#This Row],[FECHA DE VENCIMIENTO]]),"00"),"-",TEXT(DATA[[#This Row],[FECHA DE VENCIMIENTO]],"MMM"))</f>
        <v>11-Nov</v>
      </c>
    </row>
    <row r="529" spans="1:12" hidden="1" x14ac:dyDescent="0.3">
      <c r="A529" s="3">
        <v>44865</v>
      </c>
      <c r="B529" s="3">
        <v>44895</v>
      </c>
      <c r="C529" s="4">
        <f t="shared" si="16"/>
        <v>15</v>
      </c>
      <c r="D529" s="5" t="s">
        <v>1025</v>
      </c>
      <c r="E529" s="5">
        <v>20468261082</v>
      </c>
      <c r="F529" s="5" t="s">
        <v>161</v>
      </c>
      <c r="G529" s="5" t="s">
        <v>26</v>
      </c>
      <c r="H529" s="5" t="s">
        <v>7</v>
      </c>
      <c r="I529" s="31">
        <v>188.8</v>
      </c>
      <c r="J529" s="31">
        <v>0</v>
      </c>
      <c r="K529" s="6" t="str">
        <f t="shared" si="17"/>
        <v>1-POR VENCER</v>
      </c>
      <c r="L529" s="7" t="str">
        <f>_xlfn.CONCAT(TEXT(MONTH(DATA[[#This Row],[FECHA DE VENCIMIENTO]]),"00"),"-",TEXT(DATA[[#This Row],[FECHA DE VENCIMIENTO]],"MMM"))</f>
        <v>11-Nov</v>
      </c>
    </row>
    <row r="530" spans="1:12" hidden="1" x14ac:dyDescent="0.3">
      <c r="A530" s="3">
        <v>44865</v>
      </c>
      <c r="B530" s="3">
        <v>44895</v>
      </c>
      <c r="C530" s="4">
        <f t="shared" si="16"/>
        <v>15</v>
      </c>
      <c r="D530" s="5" t="s">
        <v>1027</v>
      </c>
      <c r="E530" s="5">
        <v>20468261082</v>
      </c>
      <c r="F530" s="5" t="s">
        <v>161</v>
      </c>
      <c r="G530" s="5" t="s">
        <v>26</v>
      </c>
      <c r="H530" s="5" t="s">
        <v>7</v>
      </c>
      <c r="I530" s="31">
        <v>188.8</v>
      </c>
      <c r="J530" s="31">
        <v>0</v>
      </c>
      <c r="K530" s="6" t="str">
        <f t="shared" si="17"/>
        <v>1-POR VENCER</v>
      </c>
      <c r="L530" s="7" t="str">
        <f>_xlfn.CONCAT(TEXT(MONTH(DATA[[#This Row],[FECHA DE VENCIMIENTO]]),"00"),"-",TEXT(DATA[[#This Row],[FECHA DE VENCIMIENTO]],"MMM"))</f>
        <v>11-Nov</v>
      </c>
    </row>
    <row r="531" spans="1:12" hidden="1" x14ac:dyDescent="0.3">
      <c r="A531" s="3">
        <v>44865</v>
      </c>
      <c r="B531" s="3">
        <v>44895</v>
      </c>
      <c r="C531" s="4">
        <f t="shared" si="16"/>
        <v>15</v>
      </c>
      <c r="D531" s="5" t="s">
        <v>1030</v>
      </c>
      <c r="E531" s="5">
        <v>20468261082</v>
      </c>
      <c r="F531" s="5" t="s">
        <v>161</v>
      </c>
      <c r="G531" s="5" t="s">
        <v>26</v>
      </c>
      <c r="H531" s="5" t="s">
        <v>7</v>
      </c>
      <c r="I531" s="31">
        <v>188.8</v>
      </c>
      <c r="J531" s="31">
        <v>0</v>
      </c>
      <c r="K531" s="6" t="str">
        <f t="shared" si="17"/>
        <v>1-POR VENCER</v>
      </c>
      <c r="L531" s="7" t="str">
        <f>_xlfn.CONCAT(TEXT(MONTH(DATA[[#This Row],[FECHA DE VENCIMIENTO]]),"00"),"-",TEXT(DATA[[#This Row],[FECHA DE VENCIMIENTO]],"MMM"))</f>
        <v>11-Nov</v>
      </c>
    </row>
    <row r="532" spans="1:12" hidden="1" x14ac:dyDescent="0.3">
      <c r="A532" s="3">
        <v>44865</v>
      </c>
      <c r="B532" s="3">
        <v>44895</v>
      </c>
      <c r="C532" s="4">
        <f t="shared" si="16"/>
        <v>15</v>
      </c>
      <c r="D532" s="5" t="s">
        <v>1033</v>
      </c>
      <c r="E532" s="5">
        <v>20468261082</v>
      </c>
      <c r="F532" s="5" t="s">
        <v>161</v>
      </c>
      <c r="G532" s="5" t="s">
        <v>26</v>
      </c>
      <c r="H532" s="5" t="s">
        <v>7</v>
      </c>
      <c r="I532" s="31">
        <v>330.4</v>
      </c>
      <c r="J532" s="31">
        <v>0</v>
      </c>
      <c r="K532" s="6" t="str">
        <f t="shared" si="17"/>
        <v>1-POR VENCER</v>
      </c>
      <c r="L532" s="7" t="str">
        <f>_xlfn.CONCAT(TEXT(MONTH(DATA[[#This Row],[FECHA DE VENCIMIENTO]]),"00"),"-",TEXT(DATA[[#This Row],[FECHA DE VENCIMIENTO]],"MMM"))</f>
        <v>11-Nov</v>
      </c>
    </row>
    <row r="533" spans="1:12" hidden="1" x14ac:dyDescent="0.3">
      <c r="A533" s="3">
        <v>44865</v>
      </c>
      <c r="B533" s="3">
        <v>44895</v>
      </c>
      <c r="C533" s="4">
        <f t="shared" si="16"/>
        <v>15</v>
      </c>
      <c r="D533" s="5" t="s">
        <v>1034</v>
      </c>
      <c r="E533" s="5">
        <v>20468261082</v>
      </c>
      <c r="F533" s="5" t="s">
        <v>161</v>
      </c>
      <c r="G533" s="5" t="s">
        <v>26</v>
      </c>
      <c r="H533" s="5" t="s">
        <v>7</v>
      </c>
      <c r="I533" s="31">
        <v>330.4</v>
      </c>
      <c r="J533" s="31">
        <v>0</v>
      </c>
      <c r="K533" s="6" t="str">
        <f t="shared" si="17"/>
        <v>1-POR VENCER</v>
      </c>
      <c r="L533" s="7" t="str">
        <f>_xlfn.CONCAT(TEXT(MONTH(DATA[[#This Row],[FECHA DE VENCIMIENTO]]),"00"),"-",TEXT(DATA[[#This Row],[FECHA DE VENCIMIENTO]],"MMM"))</f>
        <v>11-Nov</v>
      </c>
    </row>
    <row r="534" spans="1:12" hidden="1" x14ac:dyDescent="0.3">
      <c r="A534" s="3">
        <v>44865</v>
      </c>
      <c r="B534" s="3">
        <v>44895</v>
      </c>
      <c r="C534" s="4">
        <f t="shared" si="16"/>
        <v>15</v>
      </c>
      <c r="D534" s="5" t="s">
        <v>1035</v>
      </c>
      <c r="E534" s="5">
        <v>20468261082</v>
      </c>
      <c r="F534" s="5" t="s">
        <v>161</v>
      </c>
      <c r="G534" s="5" t="s">
        <v>26</v>
      </c>
      <c r="H534" s="5" t="s">
        <v>7</v>
      </c>
      <c r="I534" s="31">
        <v>15737.71</v>
      </c>
      <c r="J534" s="31">
        <v>0</v>
      </c>
      <c r="K534" s="6" t="str">
        <f t="shared" si="17"/>
        <v>1-POR VENCER</v>
      </c>
      <c r="L534" s="7" t="str">
        <f>_xlfn.CONCAT(TEXT(MONTH(DATA[[#This Row],[FECHA DE VENCIMIENTO]]),"00"),"-",TEXT(DATA[[#This Row],[FECHA DE VENCIMIENTO]],"MMM"))</f>
        <v>11-Nov</v>
      </c>
    </row>
    <row r="535" spans="1:12" hidden="1" x14ac:dyDescent="0.3">
      <c r="A535" s="3">
        <v>44865</v>
      </c>
      <c r="B535" s="3">
        <v>44895</v>
      </c>
      <c r="C535" s="4">
        <f t="shared" si="16"/>
        <v>15</v>
      </c>
      <c r="D535" s="5" t="s">
        <v>1053</v>
      </c>
      <c r="E535" s="5">
        <v>20468261082</v>
      </c>
      <c r="F535" s="5" t="s">
        <v>161</v>
      </c>
      <c r="G535" s="5" t="s">
        <v>26</v>
      </c>
      <c r="H535" s="5" t="s">
        <v>7</v>
      </c>
      <c r="I535" s="31">
        <v>330.4</v>
      </c>
      <c r="J535" s="31">
        <v>0</v>
      </c>
      <c r="K535" s="6" t="str">
        <f t="shared" si="17"/>
        <v>1-POR VENCER</v>
      </c>
      <c r="L535" s="7" t="str">
        <f>_xlfn.CONCAT(TEXT(MONTH(DATA[[#This Row],[FECHA DE VENCIMIENTO]]),"00"),"-",TEXT(DATA[[#This Row],[FECHA DE VENCIMIENTO]],"MMM"))</f>
        <v>11-Nov</v>
      </c>
    </row>
    <row r="536" spans="1:12" hidden="1" x14ac:dyDescent="0.3">
      <c r="A536" s="3">
        <v>44865</v>
      </c>
      <c r="B536" s="3">
        <v>44895</v>
      </c>
      <c r="C536" s="4">
        <f t="shared" si="16"/>
        <v>15</v>
      </c>
      <c r="D536" s="5" t="s">
        <v>1056</v>
      </c>
      <c r="E536" s="5">
        <v>20468261082</v>
      </c>
      <c r="F536" s="5" t="s">
        <v>161</v>
      </c>
      <c r="G536" s="5" t="s">
        <v>26</v>
      </c>
      <c r="H536" s="5" t="s">
        <v>7</v>
      </c>
      <c r="I536" s="31">
        <v>330.4</v>
      </c>
      <c r="J536" s="31">
        <v>0</v>
      </c>
      <c r="K536" s="6" t="str">
        <f t="shared" si="17"/>
        <v>1-POR VENCER</v>
      </c>
      <c r="L536" s="7" t="str">
        <f>_xlfn.CONCAT(TEXT(MONTH(DATA[[#This Row],[FECHA DE VENCIMIENTO]]),"00"),"-",TEXT(DATA[[#This Row],[FECHA DE VENCIMIENTO]],"MMM"))</f>
        <v>11-Nov</v>
      </c>
    </row>
    <row r="537" spans="1:12" hidden="1" x14ac:dyDescent="0.3">
      <c r="A537" s="3">
        <v>44865</v>
      </c>
      <c r="B537" s="3">
        <v>44895</v>
      </c>
      <c r="C537" s="4">
        <f t="shared" si="16"/>
        <v>15</v>
      </c>
      <c r="D537" s="5" t="s">
        <v>1058</v>
      </c>
      <c r="E537" s="5">
        <v>20468261082</v>
      </c>
      <c r="F537" s="5" t="s">
        <v>161</v>
      </c>
      <c r="G537" s="5" t="s">
        <v>26</v>
      </c>
      <c r="H537" s="5" t="s">
        <v>7</v>
      </c>
      <c r="I537" s="31">
        <v>330.4</v>
      </c>
      <c r="J537" s="31">
        <v>0</v>
      </c>
      <c r="K537" s="6" t="str">
        <f t="shared" si="17"/>
        <v>1-POR VENCER</v>
      </c>
      <c r="L537" s="7" t="str">
        <f>_xlfn.CONCAT(TEXT(MONTH(DATA[[#This Row],[FECHA DE VENCIMIENTO]]),"00"),"-",TEXT(DATA[[#This Row],[FECHA DE VENCIMIENTO]],"MMM"))</f>
        <v>11-Nov</v>
      </c>
    </row>
    <row r="538" spans="1:12" hidden="1" x14ac:dyDescent="0.3">
      <c r="A538" s="3">
        <v>44865</v>
      </c>
      <c r="B538" s="3">
        <v>44895</v>
      </c>
      <c r="C538" s="4">
        <f t="shared" si="16"/>
        <v>15</v>
      </c>
      <c r="D538" s="5" t="s">
        <v>1059</v>
      </c>
      <c r="E538" s="5">
        <v>20468261082</v>
      </c>
      <c r="F538" s="5" t="s">
        <v>161</v>
      </c>
      <c r="G538" s="5" t="s">
        <v>26</v>
      </c>
      <c r="H538" s="5" t="s">
        <v>7</v>
      </c>
      <c r="I538" s="31">
        <v>330.4</v>
      </c>
      <c r="J538" s="31">
        <v>0</v>
      </c>
      <c r="K538" s="6" t="str">
        <f t="shared" si="17"/>
        <v>1-POR VENCER</v>
      </c>
      <c r="L538" s="7" t="str">
        <f>_xlfn.CONCAT(TEXT(MONTH(DATA[[#This Row],[FECHA DE VENCIMIENTO]]),"00"),"-",TEXT(DATA[[#This Row],[FECHA DE VENCIMIENTO]],"MMM"))</f>
        <v>11-Nov</v>
      </c>
    </row>
    <row r="539" spans="1:12" hidden="1" x14ac:dyDescent="0.3">
      <c r="A539" s="3">
        <v>44865</v>
      </c>
      <c r="B539" s="3">
        <v>44895</v>
      </c>
      <c r="C539" s="4">
        <f t="shared" si="16"/>
        <v>15</v>
      </c>
      <c r="D539" s="5" t="s">
        <v>1060</v>
      </c>
      <c r="E539" s="5">
        <v>20468261082</v>
      </c>
      <c r="F539" s="5" t="s">
        <v>161</v>
      </c>
      <c r="G539" s="5" t="s">
        <v>26</v>
      </c>
      <c r="H539" s="5" t="s">
        <v>7</v>
      </c>
      <c r="I539" s="31">
        <v>330.4</v>
      </c>
      <c r="J539" s="31">
        <v>0</v>
      </c>
      <c r="K539" s="6" t="str">
        <f t="shared" si="17"/>
        <v>1-POR VENCER</v>
      </c>
      <c r="L539" s="7" t="str">
        <f>_xlfn.CONCAT(TEXT(MONTH(DATA[[#This Row],[FECHA DE VENCIMIENTO]]),"00"),"-",TEXT(DATA[[#This Row],[FECHA DE VENCIMIENTO]],"MMM"))</f>
        <v>11-Nov</v>
      </c>
    </row>
    <row r="540" spans="1:12" hidden="1" x14ac:dyDescent="0.3">
      <c r="A540" s="3">
        <v>44865</v>
      </c>
      <c r="B540" s="3">
        <v>44895</v>
      </c>
      <c r="C540" s="4">
        <f t="shared" si="16"/>
        <v>15</v>
      </c>
      <c r="D540" s="5" t="s">
        <v>1061</v>
      </c>
      <c r="E540" s="5">
        <v>20468261082</v>
      </c>
      <c r="F540" s="5" t="s">
        <v>161</v>
      </c>
      <c r="G540" s="5" t="s">
        <v>26</v>
      </c>
      <c r="H540" s="5" t="s">
        <v>7</v>
      </c>
      <c r="I540" s="31">
        <v>188.8</v>
      </c>
      <c r="J540" s="31">
        <v>0</v>
      </c>
      <c r="K540" s="6" t="str">
        <f t="shared" si="17"/>
        <v>1-POR VENCER</v>
      </c>
      <c r="L540" s="7" t="str">
        <f>_xlfn.CONCAT(TEXT(MONTH(DATA[[#This Row],[FECHA DE VENCIMIENTO]]),"00"),"-",TEXT(DATA[[#This Row],[FECHA DE VENCIMIENTO]],"MMM"))</f>
        <v>11-Nov</v>
      </c>
    </row>
    <row r="541" spans="1:12" hidden="1" x14ac:dyDescent="0.3">
      <c r="A541" s="3">
        <v>44865</v>
      </c>
      <c r="B541" s="3">
        <v>44895</v>
      </c>
      <c r="C541" s="4">
        <f t="shared" si="16"/>
        <v>15</v>
      </c>
      <c r="D541" s="5" t="s">
        <v>1062</v>
      </c>
      <c r="E541" s="5">
        <v>20468261082</v>
      </c>
      <c r="F541" s="5" t="s">
        <v>161</v>
      </c>
      <c r="G541" s="5" t="s">
        <v>26</v>
      </c>
      <c r="H541" s="5" t="s">
        <v>7</v>
      </c>
      <c r="I541" s="31">
        <v>330.4</v>
      </c>
      <c r="J541" s="31">
        <v>0</v>
      </c>
      <c r="K541" s="6" t="str">
        <f t="shared" si="17"/>
        <v>1-POR VENCER</v>
      </c>
      <c r="L541" s="7" t="str">
        <f>_xlfn.CONCAT(TEXT(MONTH(DATA[[#This Row],[FECHA DE VENCIMIENTO]]),"00"),"-",TEXT(DATA[[#This Row],[FECHA DE VENCIMIENTO]],"MMM"))</f>
        <v>11-Nov</v>
      </c>
    </row>
    <row r="542" spans="1:12" hidden="1" x14ac:dyDescent="0.3">
      <c r="A542" s="3">
        <v>44865</v>
      </c>
      <c r="B542" s="3">
        <v>44895</v>
      </c>
      <c r="C542" s="4">
        <f t="shared" si="16"/>
        <v>15</v>
      </c>
      <c r="D542" s="5" t="s">
        <v>1063</v>
      </c>
      <c r="E542" s="5">
        <v>20468261082</v>
      </c>
      <c r="F542" s="5" t="s">
        <v>161</v>
      </c>
      <c r="G542" s="5" t="s">
        <v>26</v>
      </c>
      <c r="H542" s="5" t="s">
        <v>7</v>
      </c>
      <c r="I542" s="31">
        <v>330.4</v>
      </c>
      <c r="J542" s="31">
        <v>0</v>
      </c>
      <c r="K542" s="6" t="str">
        <f t="shared" si="17"/>
        <v>1-POR VENCER</v>
      </c>
      <c r="L542" s="7" t="str">
        <f>_xlfn.CONCAT(TEXT(MONTH(DATA[[#This Row],[FECHA DE VENCIMIENTO]]),"00"),"-",TEXT(DATA[[#This Row],[FECHA DE VENCIMIENTO]],"MMM"))</f>
        <v>11-Nov</v>
      </c>
    </row>
    <row r="543" spans="1:12" hidden="1" x14ac:dyDescent="0.3">
      <c r="A543" s="3">
        <v>44865</v>
      </c>
      <c r="B543" s="3">
        <v>44895</v>
      </c>
      <c r="C543" s="4">
        <f t="shared" si="16"/>
        <v>15</v>
      </c>
      <c r="D543" s="5" t="s">
        <v>1064</v>
      </c>
      <c r="E543" s="5">
        <v>20468261082</v>
      </c>
      <c r="F543" s="5" t="s">
        <v>161</v>
      </c>
      <c r="G543" s="5" t="s">
        <v>26</v>
      </c>
      <c r="H543" s="5" t="s">
        <v>7</v>
      </c>
      <c r="I543" s="31">
        <v>330.4</v>
      </c>
      <c r="J543" s="31">
        <v>0</v>
      </c>
      <c r="K543" s="6" t="str">
        <f t="shared" si="17"/>
        <v>1-POR VENCER</v>
      </c>
      <c r="L543" s="7" t="str">
        <f>_xlfn.CONCAT(TEXT(MONTH(DATA[[#This Row],[FECHA DE VENCIMIENTO]]),"00"),"-",TEXT(DATA[[#This Row],[FECHA DE VENCIMIENTO]],"MMM"))</f>
        <v>11-Nov</v>
      </c>
    </row>
    <row r="544" spans="1:12" hidden="1" x14ac:dyDescent="0.3">
      <c r="A544" s="3">
        <v>44895</v>
      </c>
      <c r="B544" s="3">
        <v>44895</v>
      </c>
      <c r="C544" s="4">
        <f t="shared" si="16"/>
        <v>15</v>
      </c>
      <c r="D544" s="5" t="s">
        <v>1074</v>
      </c>
      <c r="E544" s="5">
        <v>46201144</v>
      </c>
      <c r="F544" s="5" t="s">
        <v>1075</v>
      </c>
      <c r="G544" s="5" t="s">
        <v>33</v>
      </c>
      <c r="H544" s="5" t="s">
        <v>7</v>
      </c>
      <c r="I544" s="31">
        <v>1727.94</v>
      </c>
      <c r="J544" s="31">
        <v>0</v>
      </c>
      <c r="K544" s="6" t="str">
        <f t="shared" si="17"/>
        <v>1-POR VENCER</v>
      </c>
      <c r="L544" s="7" t="str">
        <f>_xlfn.CONCAT(TEXT(MONTH(DATA[[#This Row],[FECHA DE VENCIMIENTO]]),"00"),"-",TEXT(DATA[[#This Row],[FECHA DE VENCIMIENTO]],"MMM"))</f>
        <v>11-Nov</v>
      </c>
    </row>
    <row r="545" spans="1:12" ht="31.2" hidden="1" x14ac:dyDescent="0.3">
      <c r="A545" s="3">
        <v>44865</v>
      </c>
      <c r="B545" s="3">
        <v>44895</v>
      </c>
      <c r="C545" s="4">
        <f t="shared" si="16"/>
        <v>15</v>
      </c>
      <c r="D545" s="5" t="s">
        <v>1113</v>
      </c>
      <c r="E545" s="5">
        <v>20393514630</v>
      </c>
      <c r="F545" s="5" t="s">
        <v>1108</v>
      </c>
      <c r="G545" s="5" t="s">
        <v>46</v>
      </c>
      <c r="H545" s="5" t="s">
        <v>29</v>
      </c>
      <c r="I545" s="31">
        <v>0</v>
      </c>
      <c r="J545" s="31">
        <v>2773</v>
      </c>
      <c r="K545" s="6" t="str">
        <f t="shared" si="17"/>
        <v>1-POR VENCER</v>
      </c>
      <c r="L545" s="7" t="str">
        <f>_xlfn.CONCAT(TEXT(MONTH(DATA[[#This Row],[FECHA DE VENCIMIENTO]]),"00"),"-",TEXT(DATA[[#This Row],[FECHA DE VENCIMIENTO]],"MMM"))</f>
        <v>11-Nov</v>
      </c>
    </row>
    <row r="546" spans="1:12" hidden="1" x14ac:dyDescent="0.3">
      <c r="A546" s="3">
        <v>44865</v>
      </c>
      <c r="B546" s="3">
        <v>44895</v>
      </c>
      <c r="C546" s="4">
        <f t="shared" si="16"/>
        <v>15</v>
      </c>
      <c r="D546" s="5" t="s">
        <v>1167</v>
      </c>
      <c r="E546" s="5">
        <v>20516083647</v>
      </c>
      <c r="F546" s="5" t="s">
        <v>360</v>
      </c>
      <c r="G546" s="5" t="s">
        <v>16</v>
      </c>
      <c r="H546" s="5" t="s">
        <v>29</v>
      </c>
      <c r="I546" s="31">
        <v>0</v>
      </c>
      <c r="J546" s="31">
        <v>2076.8000000000002</v>
      </c>
      <c r="K546" s="6" t="str">
        <f t="shared" si="17"/>
        <v>1-POR VENCER</v>
      </c>
      <c r="L546" s="7" t="str">
        <f>_xlfn.CONCAT(TEXT(MONTH(DATA[[#This Row],[FECHA DE VENCIMIENTO]]),"00"),"-",TEXT(DATA[[#This Row],[FECHA DE VENCIMIENTO]],"MMM"))</f>
        <v>11-Nov</v>
      </c>
    </row>
    <row r="547" spans="1:12" hidden="1" x14ac:dyDescent="0.3">
      <c r="A547" s="3">
        <v>44889</v>
      </c>
      <c r="B547" s="3">
        <v>44896</v>
      </c>
      <c r="C547" s="4">
        <f t="shared" si="16"/>
        <v>14</v>
      </c>
      <c r="D547" s="5" t="s">
        <v>864</v>
      </c>
      <c r="E547" s="5">
        <v>20534406496</v>
      </c>
      <c r="F547" s="5" t="s">
        <v>359</v>
      </c>
      <c r="G547" s="5" t="s">
        <v>13</v>
      </c>
      <c r="H547" s="5" t="s">
        <v>7</v>
      </c>
      <c r="I547" s="31">
        <v>7670</v>
      </c>
      <c r="J547" s="31">
        <v>0</v>
      </c>
      <c r="K547" s="6" t="str">
        <f t="shared" si="17"/>
        <v>1-POR VENCER</v>
      </c>
      <c r="L547" s="7" t="str">
        <f>_xlfn.CONCAT(TEXT(MONTH(DATA[[#This Row],[FECHA DE VENCIMIENTO]]),"00"),"-",TEXT(DATA[[#This Row],[FECHA DE VENCIMIENTO]],"MMM"))</f>
        <v>12-Dic</v>
      </c>
    </row>
    <row r="548" spans="1:12" hidden="1" x14ac:dyDescent="0.3">
      <c r="A548" s="3">
        <v>44897</v>
      </c>
      <c r="B548" s="3">
        <v>44897</v>
      </c>
      <c r="C548" s="4">
        <f t="shared" si="16"/>
        <v>13</v>
      </c>
      <c r="D548" s="5" t="s">
        <v>649</v>
      </c>
      <c r="E548" s="5">
        <v>20601563216</v>
      </c>
      <c r="F548" s="5" t="s">
        <v>304</v>
      </c>
      <c r="G548" s="5" t="s">
        <v>13</v>
      </c>
      <c r="H548" s="5" t="s">
        <v>7</v>
      </c>
      <c r="I548" s="31">
        <v>2053.1999999999998</v>
      </c>
      <c r="J548" s="31">
        <v>0</v>
      </c>
      <c r="K548" s="6" t="str">
        <f t="shared" si="17"/>
        <v>1-POR VENCER</v>
      </c>
      <c r="L548" s="7" t="str">
        <f>_xlfn.CONCAT(TEXT(MONTH(DATA[[#This Row],[FECHA DE VENCIMIENTO]]),"00"),"-",TEXT(DATA[[#This Row],[FECHA DE VENCIMIENTO]],"MMM"))</f>
        <v>12-Dic</v>
      </c>
    </row>
    <row r="549" spans="1:12" hidden="1" x14ac:dyDescent="0.3">
      <c r="A549" s="3">
        <v>44867</v>
      </c>
      <c r="B549" s="3">
        <v>44897</v>
      </c>
      <c r="C549" s="4">
        <f t="shared" si="16"/>
        <v>13</v>
      </c>
      <c r="D549" s="5" t="s">
        <v>666</v>
      </c>
      <c r="E549" s="5">
        <v>20132100552</v>
      </c>
      <c r="F549" s="5" t="s">
        <v>660</v>
      </c>
      <c r="G549" s="5" t="s">
        <v>58</v>
      </c>
      <c r="H549" s="5" t="s">
        <v>7</v>
      </c>
      <c r="I549" s="31">
        <v>1194.75</v>
      </c>
      <c r="J549" s="31">
        <v>0</v>
      </c>
      <c r="K549" s="6" t="str">
        <f t="shared" si="17"/>
        <v>1-POR VENCER</v>
      </c>
      <c r="L549" s="7" t="str">
        <f>_xlfn.CONCAT(TEXT(MONTH(DATA[[#This Row],[FECHA DE VENCIMIENTO]]),"00"),"-",TEXT(DATA[[#This Row],[FECHA DE VENCIMIENTO]],"MMM"))</f>
        <v>12-Dic</v>
      </c>
    </row>
    <row r="550" spans="1:12" hidden="1" x14ac:dyDescent="0.3">
      <c r="A550" s="3">
        <v>44837</v>
      </c>
      <c r="B550" s="3">
        <v>44897</v>
      </c>
      <c r="C550" s="4">
        <f t="shared" si="16"/>
        <v>13</v>
      </c>
      <c r="D550" s="5" t="s">
        <v>745</v>
      </c>
      <c r="E550" s="5">
        <v>20506421781</v>
      </c>
      <c r="F550" s="5" t="s">
        <v>735</v>
      </c>
      <c r="G550" s="5" t="s">
        <v>33</v>
      </c>
      <c r="H550" s="5" t="s">
        <v>29</v>
      </c>
      <c r="I550" s="31">
        <v>0</v>
      </c>
      <c r="J550" s="31">
        <v>3469.2</v>
      </c>
      <c r="K550" s="6" t="str">
        <f t="shared" si="17"/>
        <v>1-POR VENCER</v>
      </c>
      <c r="L550" s="7" t="str">
        <f>_xlfn.CONCAT(TEXT(MONTH(DATA[[#This Row],[FECHA DE VENCIMIENTO]]),"00"),"-",TEXT(DATA[[#This Row],[FECHA DE VENCIMIENTO]],"MMM"))</f>
        <v>12-Dic</v>
      </c>
    </row>
    <row r="551" spans="1:12" ht="31.2" hidden="1" x14ac:dyDescent="0.3">
      <c r="A551" s="3">
        <v>44867</v>
      </c>
      <c r="B551" s="3">
        <v>44897</v>
      </c>
      <c r="C551" s="4">
        <f t="shared" si="16"/>
        <v>13</v>
      </c>
      <c r="D551" s="5" t="s">
        <v>794</v>
      </c>
      <c r="E551" s="5">
        <v>20450497950</v>
      </c>
      <c r="F551" s="5" t="s">
        <v>791</v>
      </c>
      <c r="G551" s="5" t="s">
        <v>46</v>
      </c>
      <c r="H551" s="5" t="s">
        <v>29</v>
      </c>
      <c r="I551" s="31">
        <v>0</v>
      </c>
      <c r="J551" s="31">
        <v>887.07</v>
      </c>
      <c r="K551" s="6" t="str">
        <f t="shared" si="17"/>
        <v>1-POR VENCER</v>
      </c>
      <c r="L551" s="7" t="str">
        <f>_xlfn.CONCAT(TEXT(MONTH(DATA[[#This Row],[FECHA DE VENCIMIENTO]]),"00"),"-",TEXT(DATA[[#This Row],[FECHA DE VENCIMIENTO]],"MMM"))</f>
        <v>12-Dic</v>
      </c>
    </row>
    <row r="552" spans="1:12" hidden="1" x14ac:dyDescent="0.3">
      <c r="A552" s="3">
        <v>44837</v>
      </c>
      <c r="B552" s="3">
        <v>44897</v>
      </c>
      <c r="C552" s="4">
        <f t="shared" si="16"/>
        <v>13</v>
      </c>
      <c r="D552" s="5" t="s">
        <v>904</v>
      </c>
      <c r="E552" s="5">
        <v>20155261570</v>
      </c>
      <c r="F552" s="5" t="s">
        <v>355</v>
      </c>
      <c r="G552" s="5" t="s">
        <v>13</v>
      </c>
      <c r="H552" s="5" t="s">
        <v>7</v>
      </c>
      <c r="I552" s="31">
        <v>3490.44</v>
      </c>
      <c r="J552" s="31">
        <v>0</v>
      </c>
      <c r="K552" s="6" t="str">
        <f t="shared" si="17"/>
        <v>1-POR VENCER</v>
      </c>
      <c r="L552" s="7" t="str">
        <f>_xlfn.CONCAT(TEXT(MONTH(DATA[[#This Row],[FECHA DE VENCIMIENTO]]),"00"),"-",TEXT(DATA[[#This Row],[FECHA DE VENCIMIENTO]],"MMM"))</f>
        <v>12-Dic</v>
      </c>
    </row>
    <row r="553" spans="1:12" ht="31.2" hidden="1" x14ac:dyDescent="0.3">
      <c r="A553" s="3">
        <v>44882</v>
      </c>
      <c r="B553" s="3">
        <v>44897</v>
      </c>
      <c r="C553" s="4">
        <f t="shared" si="16"/>
        <v>13</v>
      </c>
      <c r="D553" s="5" t="s">
        <v>930</v>
      </c>
      <c r="E553" s="5">
        <v>20608319850</v>
      </c>
      <c r="F553" s="5" t="s">
        <v>931</v>
      </c>
      <c r="G553" s="5" t="s">
        <v>46</v>
      </c>
      <c r="H553" s="5" t="s">
        <v>7</v>
      </c>
      <c r="I553" s="31">
        <v>3079.8</v>
      </c>
      <c r="J553" s="31">
        <v>0</v>
      </c>
      <c r="K553" s="6" t="str">
        <f t="shared" si="17"/>
        <v>1-POR VENCER</v>
      </c>
      <c r="L553" s="7" t="str">
        <f>_xlfn.CONCAT(TEXT(MONTH(DATA[[#This Row],[FECHA DE VENCIMIENTO]]),"00"),"-",TEXT(DATA[[#This Row],[FECHA DE VENCIMIENTO]],"MMM"))</f>
        <v>12-Dic</v>
      </c>
    </row>
    <row r="554" spans="1:12" hidden="1" x14ac:dyDescent="0.3">
      <c r="A554" s="3">
        <v>44867</v>
      </c>
      <c r="B554" s="3">
        <v>44897</v>
      </c>
      <c r="C554" s="4">
        <f t="shared" si="16"/>
        <v>13</v>
      </c>
      <c r="D554" s="5" t="s">
        <v>969</v>
      </c>
      <c r="E554" s="5">
        <v>20509902730</v>
      </c>
      <c r="F554" s="5" t="s">
        <v>381</v>
      </c>
      <c r="G554" s="5" t="s">
        <v>16</v>
      </c>
      <c r="H554" s="5" t="s">
        <v>29</v>
      </c>
      <c r="I554" s="31">
        <v>0</v>
      </c>
      <c r="J554" s="31">
        <v>431.53</v>
      </c>
      <c r="K554" s="6" t="str">
        <f t="shared" si="17"/>
        <v>1-POR VENCER</v>
      </c>
      <c r="L554" s="7" t="str">
        <f>_xlfn.CONCAT(TEXT(MONTH(DATA[[#This Row],[FECHA DE VENCIMIENTO]]),"00"),"-",TEXT(DATA[[#This Row],[FECHA DE VENCIMIENTO]],"MMM"))</f>
        <v>12-Dic</v>
      </c>
    </row>
    <row r="555" spans="1:12" hidden="1" x14ac:dyDescent="0.3">
      <c r="A555" s="3">
        <v>44890</v>
      </c>
      <c r="B555" s="3">
        <v>44897</v>
      </c>
      <c r="C555" s="4">
        <f t="shared" si="16"/>
        <v>13</v>
      </c>
      <c r="D555" s="5" t="s">
        <v>982</v>
      </c>
      <c r="E555" s="5">
        <v>20606113758</v>
      </c>
      <c r="F555" s="5" t="s">
        <v>174</v>
      </c>
      <c r="G555" s="5" t="s">
        <v>13</v>
      </c>
      <c r="H555" s="5" t="s">
        <v>7</v>
      </c>
      <c r="I555" s="31">
        <v>3610.8</v>
      </c>
      <c r="J555" s="31">
        <v>0</v>
      </c>
      <c r="K555" s="6" t="str">
        <f t="shared" si="17"/>
        <v>1-POR VENCER</v>
      </c>
      <c r="L555" s="7" t="str">
        <f>_xlfn.CONCAT(TEXT(MONTH(DATA[[#This Row],[FECHA DE VENCIMIENTO]]),"00"),"-",TEXT(DATA[[#This Row],[FECHA DE VENCIMIENTO]],"MMM"))</f>
        <v>12-Dic</v>
      </c>
    </row>
    <row r="556" spans="1:12" hidden="1" x14ac:dyDescent="0.3">
      <c r="A556" s="3">
        <v>44867</v>
      </c>
      <c r="B556" s="3">
        <v>44897</v>
      </c>
      <c r="C556" s="4">
        <f t="shared" si="16"/>
        <v>13</v>
      </c>
      <c r="D556" s="5" t="s">
        <v>989</v>
      </c>
      <c r="E556" s="5">
        <v>20606113758</v>
      </c>
      <c r="F556" s="5" t="s">
        <v>174</v>
      </c>
      <c r="G556" s="5" t="s">
        <v>13</v>
      </c>
      <c r="H556" s="5" t="s">
        <v>7</v>
      </c>
      <c r="I556" s="31">
        <v>254.95</v>
      </c>
      <c r="J556" s="31">
        <v>0</v>
      </c>
      <c r="K556" s="6" t="str">
        <f t="shared" si="17"/>
        <v>1-POR VENCER</v>
      </c>
      <c r="L556" s="7" t="str">
        <f>_xlfn.CONCAT(TEXT(MONTH(DATA[[#This Row],[FECHA DE VENCIMIENTO]]),"00"),"-",TEXT(DATA[[#This Row],[FECHA DE VENCIMIENTO]],"MMM"))</f>
        <v>12-Dic</v>
      </c>
    </row>
    <row r="557" spans="1:12" hidden="1" x14ac:dyDescent="0.3">
      <c r="A557" s="3">
        <v>44867</v>
      </c>
      <c r="B557" s="3">
        <v>44897</v>
      </c>
      <c r="C557" s="4">
        <f t="shared" si="16"/>
        <v>13</v>
      </c>
      <c r="D557" s="5" t="s">
        <v>1180</v>
      </c>
      <c r="E557" s="5">
        <v>20603019343</v>
      </c>
      <c r="F557" s="5" t="s">
        <v>1179</v>
      </c>
      <c r="G557" s="5" t="s">
        <v>13</v>
      </c>
      <c r="H557" s="5" t="s">
        <v>7</v>
      </c>
      <c r="I557" s="31">
        <v>1026.56</v>
      </c>
      <c r="J557" s="31">
        <v>0</v>
      </c>
      <c r="K557" s="6" t="str">
        <f t="shared" si="17"/>
        <v>1-POR VENCER</v>
      </c>
      <c r="L557" s="7" t="str">
        <f>_xlfn.CONCAT(TEXT(MONTH(DATA[[#This Row],[FECHA DE VENCIMIENTO]]),"00"),"-",TEXT(DATA[[#This Row],[FECHA DE VENCIMIENTO]],"MMM"))</f>
        <v>12-Dic</v>
      </c>
    </row>
    <row r="558" spans="1:12" hidden="1" x14ac:dyDescent="0.3">
      <c r="A558" s="3">
        <v>44868</v>
      </c>
      <c r="B558" s="3">
        <v>44898</v>
      </c>
      <c r="C558" s="4">
        <f t="shared" si="16"/>
        <v>12</v>
      </c>
      <c r="D558" s="5" t="s">
        <v>606</v>
      </c>
      <c r="E558" s="5">
        <v>20600678397</v>
      </c>
      <c r="F558" s="5" t="s">
        <v>607</v>
      </c>
      <c r="G558" s="5" t="s">
        <v>33</v>
      </c>
      <c r="H558" s="5" t="s">
        <v>7</v>
      </c>
      <c r="I558" s="31">
        <v>1493.6</v>
      </c>
      <c r="J558" s="31">
        <v>0</v>
      </c>
      <c r="K558" s="6" t="str">
        <f t="shared" si="17"/>
        <v>1-POR VENCER</v>
      </c>
      <c r="L558" s="7" t="str">
        <f>_xlfn.CONCAT(TEXT(MONTH(DATA[[#This Row],[FECHA DE VENCIMIENTO]]),"00"),"-",TEXT(DATA[[#This Row],[FECHA DE VENCIMIENTO]],"MMM"))</f>
        <v>12-Dic</v>
      </c>
    </row>
    <row r="559" spans="1:12" hidden="1" x14ac:dyDescent="0.3">
      <c r="A559" s="3">
        <v>44838</v>
      </c>
      <c r="B559" s="3">
        <v>44898</v>
      </c>
      <c r="C559" s="4">
        <f t="shared" si="16"/>
        <v>12</v>
      </c>
      <c r="D559" s="5" t="s">
        <v>698</v>
      </c>
      <c r="E559" s="5">
        <v>20132373958</v>
      </c>
      <c r="F559" s="5" t="s">
        <v>697</v>
      </c>
      <c r="G559" s="5" t="s">
        <v>58</v>
      </c>
      <c r="H559" s="5" t="s">
        <v>7</v>
      </c>
      <c r="I559" s="31">
        <v>8411.0400000000009</v>
      </c>
      <c r="J559" s="31">
        <v>0</v>
      </c>
      <c r="K559" s="6" t="str">
        <f t="shared" si="17"/>
        <v>1-POR VENCER</v>
      </c>
      <c r="L559" s="7" t="str">
        <f>_xlfn.CONCAT(TEXT(MONTH(DATA[[#This Row],[FECHA DE VENCIMIENTO]]),"00"),"-",TEXT(DATA[[#This Row],[FECHA DE VENCIMIENTO]],"MMM"))</f>
        <v>12-Dic</v>
      </c>
    </row>
    <row r="560" spans="1:12" hidden="1" x14ac:dyDescent="0.3">
      <c r="A560" s="3">
        <v>44838</v>
      </c>
      <c r="B560" s="3">
        <v>44898</v>
      </c>
      <c r="C560" s="4">
        <f t="shared" si="16"/>
        <v>12</v>
      </c>
      <c r="D560" s="5" t="s">
        <v>905</v>
      </c>
      <c r="E560" s="5">
        <v>20155261570</v>
      </c>
      <c r="F560" s="5" t="s">
        <v>355</v>
      </c>
      <c r="G560" s="5" t="s">
        <v>13</v>
      </c>
      <c r="H560" s="5" t="s">
        <v>7</v>
      </c>
      <c r="I560" s="31">
        <v>1525.74</v>
      </c>
      <c r="J560" s="31">
        <v>0</v>
      </c>
      <c r="K560" s="6" t="str">
        <f t="shared" si="17"/>
        <v>1-POR VENCER</v>
      </c>
      <c r="L560" s="7" t="str">
        <f>_xlfn.CONCAT(TEXT(MONTH(DATA[[#This Row],[FECHA DE VENCIMIENTO]]),"00"),"-",TEXT(DATA[[#This Row],[FECHA DE VENCIMIENTO]],"MMM"))</f>
        <v>12-Dic</v>
      </c>
    </row>
    <row r="561" spans="1:12" hidden="1" x14ac:dyDescent="0.3">
      <c r="A561" s="3">
        <v>44868</v>
      </c>
      <c r="B561" s="3">
        <v>44898</v>
      </c>
      <c r="C561" s="4">
        <f t="shared" si="16"/>
        <v>12</v>
      </c>
      <c r="D561" s="5" t="s">
        <v>932</v>
      </c>
      <c r="E561" s="5">
        <v>10323803345</v>
      </c>
      <c r="F561" s="5" t="s">
        <v>933</v>
      </c>
      <c r="G561" s="5" t="s">
        <v>58</v>
      </c>
      <c r="H561" s="5" t="s">
        <v>29</v>
      </c>
      <c r="I561" s="31">
        <v>0</v>
      </c>
      <c r="J561" s="31">
        <v>177</v>
      </c>
      <c r="K561" s="6" t="str">
        <f t="shared" si="17"/>
        <v>1-POR VENCER</v>
      </c>
      <c r="L561" s="7" t="str">
        <f>_xlfn.CONCAT(TEXT(MONTH(DATA[[#This Row],[FECHA DE VENCIMIENTO]]),"00"),"-",TEXT(DATA[[#This Row],[FECHA DE VENCIMIENTO]],"MMM"))</f>
        <v>12-Dic</v>
      </c>
    </row>
    <row r="562" spans="1:12" hidden="1" x14ac:dyDescent="0.3">
      <c r="A562" s="3">
        <v>44838</v>
      </c>
      <c r="B562" s="3">
        <v>44898</v>
      </c>
      <c r="C562" s="4">
        <f t="shared" si="16"/>
        <v>12</v>
      </c>
      <c r="D562" s="5" t="s">
        <v>1065</v>
      </c>
      <c r="E562" s="5">
        <v>20468261082</v>
      </c>
      <c r="F562" s="5" t="s">
        <v>161</v>
      </c>
      <c r="G562" s="5" t="s">
        <v>26</v>
      </c>
      <c r="H562" s="5" t="s">
        <v>7</v>
      </c>
      <c r="I562" s="31">
        <v>2190.9299999999998</v>
      </c>
      <c r="J562" s="31">
        <v>0</v>
      </c>
      <c r="K562" s="6" t="str">
        <f t="shared" si="17"/>
        <v>1-POR VENCER</v>
      </c>
      <c r="L562" s="7" t="str">
        <f>_xlfn.CONCAT(TEXT(MONTH(DATA[[#This Row],[FECHA DE VENCIMIENTO]]),"00"),"-",TEXT(DATA[[#This Row],[FECHA DE VENCIMIENTO]],"MMM"))</f>
        <v>12-Dic</v>
      </c>
    </row>
    <row r="563" spans="1:12" hidden="1" x14ac:dyDescent="0.3">
      <c r="A563" s="3">
        <v>44838</v>
      </c>
      <c r="B563" s="3">
        <v>44898</v>
      </c>
      <c r="C563" s="4">
        <f t="shared" si="16"/>
        <v>12</v>
      </c>
      <c r="D563" s="5" t="s">
        <v>1099</v>
      </c>
      <c r="E563" s="5">
        <v>20100182263</v>
      </c>
      <c r="F563" s="5" t="s">
        <v>1100</v>
      </c>
      <c r="G563" s="5" t="s">
        <v>26</v>
      </c>
      <c r="H563" s="5" t="s">
        <v>29</v>
      </c>
      <c r="I563" s="31">
        <v>0</v>
      </c>
      <c r="J563" s="31">
        <v>3776</v>
      </c>
      <c r="K563" s="6" t="str">
        <f t="shared" si="17"/>
        <v>1-POR VENCER</v>
      </c>
      <c r="L563" s="7" t="str">
        <f>_xlfn.CONCAT(TEXT(MONTH(DATA[[#This Row],[FECHA DE VENCIMIENTO]]),"00"),"-",TEXT(DATA[[#This Row],[FECHA DE VENCIMIENTO]],"MMM"))</f>
        <v>12-Dic</v>
      </c>
    </row>
    <row r="564" spans="1:12" hidden="1" x14ac:dyDescent="0.3">
      <c r="A564" s="3">
        <v>44838</v>
      </c>
      <c r="B564" s="3">
        <v>44898</v>
      </c>
      <c r="C564" s="4">
        <f t="shared" si="16"/>
        <v>12</v>
      </c>
      <c r="D564" s="5" t="s">
        <v>1101</v>
      </c>
      <c r="E564" s="5">
        <v>20100182263</v>
      </c>
      <c r="F564" s="5" t="s">
        <v>1100</v>
      </c>
      <c r="G564" s="5" t="s">
        <v>26</v>
      </c>
      <c r="H564" s="5" t="s">
        <v>7</v>
      </c>
      <c r="I564" s="31">
        <v>292.05</v>
      </c>
      <c r="J564" s="31">
        <v>0</v>
      </c>
      <c r="K564" s="6" t="str">
        <f t="shared" si="17"/>
        <v>1-POR VENCER</v>
      </c>
      <c r="L564" s="7" t="str">
        <f>_xlfn.CONCAT(TEXT(MONTH(DATA[[#This Row],[FECHA DE VENCIMIENTO]]),"00"),"-",TEXT(DATA[[#This Row],[FECHA DE VENCIMIENTO]],"MMM"))</f>
        <v>12-Dic</v>
      </c>
    </row>
    <row r="565" spans="1:12" hidden="1" x14ac:dyDescent="0.3">
      <c r="A565" s="3">
        <v>44838</v>
      </c>
      <c r="B565" s="3">
        <v>44898</v>
      </c>
      <c r="C565" s="4">
        <f t="shared" si="16"/>
        <v>12</v>
      </c>
      <c r="D565" s="5" t="s">
        <v>1271</v>
      </c>
      <c r="E565" s="5">
        <v>20609609711</v>
      </c>
      <c r="F565" s="5" t="s">
        <v>1272</v>
      </c>
      <c r="G565" s="5" t="s">
        <v>13</v>
      </c>
      <c r="H565" s="5" t="s">
        <v>29</v>
      </c>
      <c r="I565" s="31">
        <v>0</v>
      </c>
      <c r="J565" s="31">
        <v>1224.8399999999999</v>
      </c>
      <c r="K565" s="6" t="str">
        <f t="shared" si="17"/>
        <v>1-POR VENCER</v>
      </c>
      <c r="L565" s="7" t="str">
        <f>_xlfn.CONCAT(TEXT(MONTH(DATA[[#This Row],[FECHA DE VENCIMIENTO]]),"00"),"-",TEXT(DATA[[#This Row],[FECHA DE VENCIMIENTO]],"MMM"))</f>
        <v>12-Dic</v>
      </c>
    </row>
    <row r="566" spans="1:12" hidden="1" x14ac:dyDescent="0.3">
      <c r="A566" s="3">
        <v>44838</v>
      </c>
      <c r="B566" s="3">
        <v>44898</v>
      </c>
      <c r="C566" s="4">
        <f t="shared" si="16"/>
        <v>12</v>
      </c>
      <c r="D566" s="5" t="s">
        <v>1273</v>
      </c>
      <c r="E566" s="5">
        <v>20609609711</v>
      </c>
      <c r="F566" s="5" t="s">
        <v>1272</v>
      </c>
      <c r="G566" s="5" t="s">
        <v>13</v>
      </c>
      <c r="H566" s="5" t="s">
        <v>7</v>
      </c>
      <c r="I566" s="31">
        <v>9003.4</v>
      </c>
      <c r="J566" s="31">
        <v>0</v>
      </c>
      <c r="K566" s="6" t="str">
        <f t="shared" si="17"/>
        <v>1-POR VENCER</v>
      </c>
      <c r="L566" s="7" t="str">
        <f>_xlfn.CONCAT(TEXT(MONTH(DATA[[#This Row],[FECHA DE VENCIMIENTO]]),"00"),"-",TEXT(DATA[[#This Row],[FECHA DE VENCIMIENTO]],"MMM"))</f>
        <v>12-Dic</v>
      </c>
    </row>
    <row r="567" spans="1:12" hidden="1" x14ac:dyDescent="0.3">
      <c r="A567" s="3">
        <v>44839</v>
      </c>
      <c r="B567" s="3">
        <v>44899</v>
      </c>
      <c r="C567" s="4">
        <f t="shared" si="16"/>
        <v>11</v>
      </c>
      <c r="D567" s="5" t="s">
        <v>778</v>
      </c>
      <c r="E567" s="5">
        <v>20439320126</v>
      </c>
      <c r="F567" s="5" t="s">
        <v>777</v>
      </c>
      <c r="G567" s="5" t="s">
        <v>58</v>
      </c>
      <c r="H567" s="5" t="s">
        <v>29</v>
      </c>
      <c r="I567" s="31">
        <v>0</v>
      </c>
      <c r="J567" s="31">
        <v>343.38</v>
      </c>
      <c r="K567" s="6" t="str">
        <f t="shared" si="17"/>
        <v>1-POR VENCER</v>
      </c>
      <c r="L567" s="7" t="str">
        <f>_xlfn.CONCAT(TEXT(MONTH(DATA[[#This Row],[FECHA DE VENCIMIENTO]]),"00"),"-",TEXT(DATA[[#This Row],[FECHA DE VENCIMIENTO]],"MMM"))</f>
        <v>12-Dic</v>
      </c>
    </row>
    <row r="568" spans="1:12" hidden="1" x14ac:dyDescent="0.3">
      <c r="A568" s="3">
        <v>44839</v>
      </c>
      <c r="B568" s="3">
        <v>44899</v>
      </c>
      <c r="C568" s="4">
        <f t="shared" si="16"/>
        <v>11</v>
      </c>
      <c r="D568" s="5" t="s">
        <v>779</v>
      </c>
      <c r="E568" s="5">
        <v>20439320126</v>
      </c>
      <c r="F568" s="5" t="s">
        <v>777</v>
      </c>
      <c r="G568" s="5" t="s">
        <v>58</v>
      </c>
      <c r="H568" s="5" t="s">
        <v>29</v>
      </c>
      <c r="I568" s="31">
        <v>0</v>
      </c>
      <c r="J568" s="31">
        <v>543.69000000000005</v>
      </c>
      <c r="K568" s="6" t="str">
        <f t="shared" si="17"/>
        <v>1-POR VENCER</v>
      </c>
      <c r="L568" s="7" t="str">
        <f>_xlfn.CONCAT(TEXT(MONTH(DATA[[#This Row],[FECHA DE VENCIMIENTO]]),"00"),"-",TEXT(DATA[[#This Row],[FECHA DE VENCIMIENTO]],"MMM"))</f>
        <v>12-Dic</v>
      </c>
    </row>
    <row r="569" spans="1:12" hidden="1" x14ac:dyDescent="0.3">
      <c r="A569" s="3">
        <v>44839</v>
      </c>
      <c r="B569" s="3">
        <v>44899</v>
      </c>
      <c r="C569" s="4">
        <f t="shared" si="16"/>
        <v>11</v>
      </c>
      <c r="D569" s="5" t="s">
        <v>781</v>
      </c>
      <c r="E569" s="5">
        <v>20439320126</v>
      </c>
      <c r="F569" s="5" t="s">
        <v>777</v>
      </c>
      <c r="G569" s="5" t="s">
        <v>58</v>
      </c>
      <c r="H569" s="5" t="s">
        <v>29</v>
      </c>
      <c r="I569" s="31">
        <v>0</v>
      </c>
      <c r="J569" s="31">
        <v>743.99</v>
      </c>
      <c r="K569" s="6" t="str">
        <f t="shared" si="17"/>
        <v>1-POR VENCER</v>
      </c>
      <c r="L569" s="7" t="str">
        <f>_xlfn.CONCAT(TEXT(MONTH(DATA[[#This Row],[FECHA DE VENCIMIENTO]]),"00"),"-",TEXT(DATA[[#This Row],[FECHA DE VENCIMIENTO]],"MMM"))</f>
        <v>12-Dic</v>
      </c>
    </row>
    <row r="570" spans="1:12" hidden="1" x14ac:dyDescent="0.3">
      <c r="A570" s="3">
        <v>44854</v>
      </c>
      <c r="B570" s="3">
        <v>44899</v>
      </c>
      <c r="C570" s="4">
        <f t="shared" si="16"/>
        <v>11</v>
      </c>
      <c r="D570" s="5" t="s">
        <v>858</v>
      </c>
      <c r="E570" s="5">
        <v>20534406496</v>
      </c>
      <c r="F570" s="5" t="s">
        <v>359</v>
      </c>
      <c r="G570" s="5" t="s">
        <v>13</v>
      </c>
      <c r="H570" s="5" t="s">
        <v>7</v>
      </c>
      <c r="I570" s="31">
        <v>15478.3</v>
      </c>
      <c r="J570" s="31">
        <v>0</v>
      </c>
      <c r="K570" s="6" t="str">
        <f t="shared" si="17"/>
        <v>1-POR VENCER</v>
      </c>
      <c r="L570" s="7" t="str">
        <f>_xlfn.CONCAT(TEXT(MONTH(DATA[[#This Row],[FECHA DE VENCIMIENTO]]),"00"),"-",TEXT(DATA[[#This Row],[FECHA DE VENCIMIENTO]],"MMM"))</f>
        <v>12-Dic</v>
      </c>
    </row>
    <row r="571" spans="1:12" hidden="1" x14ac:dyDescent="0.3">
      <c r="A571" s="3">
        <v>44869</v>
      </c>
      <c r="B571" s="3">
        <v>44899</v>
      </c>
      <c r="C571" s="4">
        <f t="shared" si="16"/>
        <v>11</v>
      </c>
      <c r="D571" s="5" t="s">
        <v>962</v>
      </c>
      <c r="E571" s="5">
        <v>20534627310</v>
      </c>
      <c r="F571" s="5" t="s">
        <v>957</v>
      </c>
      <c r="G571" s="5" t="s">
        <v>13</v>
      </c>
      <c r="H571" s="5" t="s">
        <v>7</v>
      </c>
      <c r="I571" s="31">
        <v>3266.24</v>
      </c>
      <c r="J571" s="31">
        <v>0</v>
      </c>
      <c r="K571" s="6" t="str">
        <f t="shared" si="17"/>
        <v>1-POR VENCER</v>
      </c>
      <c r="L571" s="7" t="str">
        <f>_xlfn.CONCAT(TEXT(MONTH(DATA[[#This Row],[FECHA DE VENCIMIENTO]]),"00"),"-",TEXT(DATA[[#This Row],[FECHA DE VENCIMIENTO]],"MMM"))</f>
        <v>12-Dic</v>
      </c>
    </row>
    <row r="572" spans="1:12" ht="31.2" hidden="1" x14ac:dyDescent="0.3">
      <c r="A572" s="3">
        <v>44869</v>
      </c>
      <c r="B572" s="3">
        <v>44899</v>
      </c>
      <c r="C572" s="4">
        <f t="shared" si="16"/>
        <v>11</v>
      </c>
      <c r="D572" s="5" t="s">
        <v>1109</v>
      </c>
      <c r="E572" s="5">
        <v>20393514630</v>
      </c>
      <c r="F572" s="5" t="s">
        <v>1108</v>
      </c>
      <c r="G572" s="5" t="s">
        <v>46</v>
      </c>
      <c r="H572" s="5" t="s">
        <v>7</v>
      </c>
      <c r="I572" s="31">
        <v>3756.53</v>
      </c>
      <c r="J572" s="31">
        <v>0</v>
      </c>
      <c r="K572" s="6" t="str">
        <f t="shared" si="17"/>
        <v>1-POR VENCER</v>
      </c>
      <c r="L572" s="7" t="str">
        <f>_xlfn.CONCAT(TEXT(MONTH(DATA[[#This Row],[FECHA DE VENCIMIENTO]]),"00"),"-",TEXT(DATA[[#This Row],[FECHA DE VENCIMIENTO]],"MMM"))</f>
        <v>12-Dic</v>
      </c>
    </row>
    <row r="573" spans="1:12" hidden="1" x14ac:dyDescent="0.3">
      <c r="A573" s="3">
        <v>44840</v>
      </c>
      <c r="B573" s="3">
        <v>44900</v>
      </c>
      <c r="C573" s="4">
        <f t="shared" si="16"/>
        <v>10</v>
      </c>
      <c r="D573" s="5" t="s">
        <v>523</v>
      </c>
      <c r="E573" s="5">
        <v>20320731314</v>
      </c>
      <c r="F573" s="5" t="s">
        <v>331</v>
      </c>
      <c r="G573" s="5" t="s">
        <v>16</v>
      </c>
      <c r="H573" s="5" t="s">
        <v>29</v>
      </c>
      <c r="I573" s="31">
        <v>0</v>
      </c>
      <c r="J573" s="31">
        <v>8146.72</v>
      </c>
      <c r="K573" s="6" t="str">
        <f t="shared" si="17"/>
        <v>1-POR VENCER</v>
      </c>
      <c r="L573" s="7" t="str">
        <f>_xlfn.CONCAT(TEXT(MONTH(DATA[[#This Row],[FECHA DE VENCIMIENTO]]),"00"),"-",TEXT(DATA[[#This Row],[FECHA DE VENCIMIENTO]],"MMM"))</f>
        <v>12-Dic</v>
      </c>
    </row>
    <row r="574" spans="1:12" hidden="1" x14ac:dyDescent="0.3">
      <c r="A574" s="3">
        <v>44840</v>
      </c>
      <c r="B574" s="3">
        <v>44900</v>
      </c>
      <c r="C574" s="4">
        <f t="shared" si="16"/>
        <v>10</v>
      </c>
      <c r="D574" s="5" t="s">
        <v>558</v>
      </c>
      <c r="E574" s="5">
        <v>20132292109</v>
      </c>
      <c r="F574" s="5" t="s">
        <v>557</v>
      </c>
      <c r="G574" s="5" t="s">
        <v>58</v>
      </c>
      <c r="H574" s="5" t="s">
        <v>29</v>
      </c>
      <c r="I574" s="31">
        <v>0</v>
      </c>
      <c r="J574" s="31">
        <v>737.21</v>
      </c>
      <c r="K574" s="6" t="str">
        <f t="shared" si="17"/>
        <v>1-POR VENCER</v>
      </c>
      <c r="L574" s="7" t="str">
        <f>_xlfn.CONCAT(TEXT(MONTH(DATA[[#This Row],[FECHA DE VENCIMIENTO]]),"00"),"-",TEXT(DATA[[#This Row],[FECHA DE VENCIMIENTO]],"MMM"))</f>
        <v>12-Dic</v>
      </c>
    </row>
    <row r="575" spans="1:12" hidden="1" x14ac:dyDescent="0.3">
      <c r="A575" s="3">
        <v>44900</v>
      </c>
      <c r="B575" s="3">
        <v>44900</v>
      </c>
      <c r="C575" s="4">
        <f t="shared" si="16"/>
        <v>10</v>
      </c>
      <c r="D575" s="5" t="s">
        <v>586</v>
      </c>
      <c r="E575" s="5">
        <v>10218367041</v>
      </c>
      <c r="F575" s="5" t="s">
        <v>587</v>
      </c>
      <c r="G575" s="5" t="s">
        <v>13</v>
      </c>
      <c r="H575" s="5" t="s">
        <v>7</v>
      </c>
      <c r="I575" s="31">
        <v>3171.76</v>
      </c>
      <c r="J575" s="31">
        <v>0</v>
      </c>
      <c r="K575" s="6" t="str">
        <f t="shared" si="17"/>
        <v>1-POR VENCER</v>
      </c>
      <c r="L575" s="7" t="str">
        <f>_xlfn.CONCAT(TEXT(MONTH(DATA[[#This Row],[FECHA DE VENCIMIENTO]]),"00"),"-",TEXT(DATA[[#This Row],[FECHA DE VENCIMIENTO]],"MMM"))</f>
        <v>12-Dic</v>
      </c>
    </row>
    <row r="576" spans="1:12" hidden="1" x14ac:dyDescent="0.3">
      <c r="A576" s="3">
        <v>44900</v>
      </c>
      <c r="B576" s="3">
        <v>44900</v>
      </c>
      <c r="C576" s="4">
        <f t="shared" si="16"/>
        <v>10</v>
      </c>
      <c r="D576" s="5" t="s">
        <v>730</v>
      </c>
      <c r="E576" s="5">
        <v>20609023024</v>
      </c>
      <c r="F576" s="5" t="s">
        <v>731</v>
      </c>
      <c r="G576" s="5" t="s">
        <v>16</v>
      </c>
      <c r="H576" s="5" t="s">
        <v>29</v>
      </c>
      <c r="I576" s="31">
        <v>0</v>
      </c>
      <c r="J576" s="31">
        <v>74.34</v>
      </c>
      <c r="K576" s="6" t="str">
        <f t="shared" si="17"/>
        <v>1-POR VENCER</v>
      </c>
      <c r="L576" s="7" t="str">
        <f>_xlfn.CONCAT(TEXT(MONTH(DATA[[#This Row],[FECHA DE VENCIMIENTO]]),"00"),"-",TEXT(DATA[[#This Row],[FECHA DE VENCIMIENTO]],"MMM"))</f>
        <v>12-Dic</v>
      </c>
    </row>
    <row r="577" spans="1:12" hidden="1" x14ac:dyDescent="0.3">
      <c r="A577" s="3">
        <v>44900</v>
      </c>
      <c r="B577" s="3">
        <v>44900</v>
      </c>
      <c r="C577" s="4">
        <f t="shared" si="16"/>
        <v>10</v>
      </c>
      <c r="D577" s="5" t="s">
        <v>1103</v>
      </c>
      <c r="E577" s="5">
        <v>20607970352</v>
      </c>
      <c r="F577" s="5" t="s">
        <v>1104</v>
      </c>
      <c r="G577" s="5" t="s">
        <v>13</v>
      </c>
      <c r="H577" s="5" t="s">
        <v>7</v>
      </c>
      <c r="I577" s="31">
        <v>2727.57</v>
      </c>
      <c r="J577" s="31">
        <v>0</v>
      </c>
      <c r="K577" s="6" t="str">
        <f t="shared" si="17"/>
        <v>1-POR VENCER</v>
      </c>
      <c r="L577" s="7" t="str">
        <f>_xlfn.CONCAT(TEXT(MONTH(DATA[[#This Row],[FECHA DE VENCIMIENTO]]),"00"),"-",TEXT(DATA[[#This Row],[FECHA DE VENCIMIENTO]],"MMM"))</f>
        <v>12-Dic</v>
      </c>
    </row>
    <row r="578" spans="1:12" hidden="1" x14ac:dyDescent="0.3">
      <c r="A578" s="3">
        <v>44780</v>
      </c>
      <c r="B578" s="3">
        <v>44900</v>
      </c>
      <c r="C578" s="4">
        <f t="shared" si="16"/>
        <v>10</v>
      </c>
      <c r="D578" s="5" t="s">
        <v>1235</v>
      </c>
      <c r="E578" s="5">
        <v>20100154308</v>
      </c>
      <c r="F578" s="5" t="s">
        <v>1217</v>
      </c>
      <c r="G578" s="5" t="s">
        <v>16</v>
      </c>
      <c r="H578" s="5" t="s">
        <v>7</v>
      </c>
      <c r="I578" s="31">
        <v>11541.58</v>
      </c>
      <c r="J578" s="31">
        <v>0</v>
      </c>
      <c r="K578" s="6" t="str">
        <f t="shared" si="17"/>
        <v>1-POR VENCER</v>
      </c>
      <c r="L578" s="7" t="str">
        <f>_xlfn.CONCAT(TEXT(MONTH(DATA[[#This Row],[FECHA DE VENCIMIENTO]]),"00"),"-",TEXT(DATA[[#This Row],[FECHA DE VENCIMIENTO]],"MMM"))</f>
        <v>12-Dic</v>
      </c>
    </row>
    <row r="579" spans="1:12" hidden="1" x14ac:dyDescent="0.3">
      <c r="A579" s="3">
        <v>44901</v>
      </c>
      <c r="B579" s="3">
        <v>44901</v>
      </c>
      <c r="C579" s="4">
        <f t="shared" si="16"/>
        <v>9</v>
      </c>
      <c r="D579" s="5" t="s">
        <v>643</v>
      </c>
      <c r="E579" s="5">
        <v>20609553783</v>
      </c>
      <c r="F579" s="5" t="s">
        <v>640</v>
      </c>
      <c r="G579" s="5" t="s">
        <v>13</v>
      </c>
      <c r="H579" s="5" t="s">
        <v>29</v>
      </c>
      <c r="I579" s="31">
        <v>0</v>
      </c>
      <c r="J579" s="31">
        <v>140.13</v>
      </c>
      <c r="K579" s="6" t="str">
        <f t="shared" si="17"/>
        <v>1-POR VENCER</v>
      </c>
      <c r="L579" s="7" t="str">
        <f>_xlfn.CONCAT(TEXT(MONTH(DATA[[#This Row],[FECHA DE VENCIMIENTO]]),"00"),"-",TEXT(DATA[[#This Row],[FECHA DE VENCIMIENTO]],"MMM"))</f>
        <v>12-Dic</v>
      </c>
    </row>
    <row r="580" spans="1:12" hidden="1" x14ac:dyDescent="0.3">
      <c r="A580" s="3">
        <v>44901</v>
      </c>
      <c r="B580" s="3">
        <v>44901</v>
      </c>
      <c r="C580" s="4">
        <f t="shared" ref="C580:C643" si="18">$E$2-B580</f>
        <v>9</v>
      </c>
      <c r="D580" s="5" t="s">
        <v>879</v>
      </c>
      <c r="E580" s="5">
        <v>20607097411</v>
      </c>
      <c r="F580" s="5" t="s">
        <v>880</v>
      </c>
      <c r="G580" s="5" t="s">
        <v>13</v>
      </c>
      <c r="H580" s="5" t="s">
        <v>7</v>
      </c>
      <c r="I580" s="31">
        <v>6844</v>
      </c>
      <c r="J580" s="31">
        <v>0</v>
      </c>
      <c r="K580" s="6" t="str">
        <f t="shared" ref="K580:K643" si="19">IF(C580&gt;180,"180 &lt;= 360 DIAS",IF(C580&gt;90,"90 &lt;= 180 DIAS",IF(C580&gt;60,"60 &lt;= 90 DIAS",IF(C580&gt;30,"30 &lt;= 60 DIAS",IF(C580&gt;15,"15 &lt;= 30 DIAS","1-POR VENCER")))))</f>
        <v>1-POR VENCER</v>
      </c>
      <c r="L580" s="7" t="str">
        <f>_xlfn.CONCAT(TEXT(MONTH(DATA[[#This Row],[FECHA DE VENCIMIENTO]]),"00"),"-",TEXT(DATA[[#This Row],[FECHA DE VENCIMIENTO]],"MMM"))</f>
        <v>12-Dic</v>
      </c>
    </row>
    <row r="581" spans="1:12" ht="31.2" hidden="1" x14ac:dyDescent="0.3">
      <c r="A581" s="3">
        <v>44901</v>
      </c>
      <c r="B581" s="3">
        <v>44901</v>
      </c>
      <c r="C581" s="4">
        <f t="shared" si="18"/>
        <v>9</v>
      </c>
      <c r="D581" s="5" t="s">
        <v>886</v>
      </c>
      <c r="E581" s="5">
        <v>20494089867</v>
      </c>
      <c r="F581" s="5" t="s">
        <v>887</v>
      </c>
      <c r="G581" s="5" t="s">
        <v>46</v>
      </c>
      <c r="H581" s="5" t="s">
        <v>7</v>
      </c>
      <c r="I581" s="31">
        <v>4351.25</v>
      </c>
      <c r="J581" s="31">
        <v>0</v>
      </c>
      <c r="K581" s="6" t="str">
        <f t="shared" si="19"/>
        <v>1-POR VENCER</v>
      </c>
      <c r="L581" s="7" t="str">
        <f>_xlfn.CONCAT(TEXT(MONTH(DATA[[#This Row],[FECHA DE VENCIMIENTO]]),"00"),"-",TEXT(DATA[[#This Row],[FECHA DE VENCIMIENTO]],"MMM"))</f>
        <v>12-Dic</v>
      </c>
    </row>
    <row r="582" spans="1:12" ht="31.2" hidden="1" x14ac:dyDescent="0.3">
      <c r="A582" s="3">
        <v>44901</v>
      </c>
      <c r="B582" s="3">
        <v>44901</v>
      </c>
      <c r="C582" s="4">
        <f t="shared" si="18"/>
        <v>9</v>
      </c>
      <c r="D582" s="5" t="s">
        <v>1160</v>
      </c>
      <c r="E582" s="5">
        <v>20565525531</v>
      </c>
      <c r="F582" s="5" t="s">
        <v>1161</v>
      </c>
      <c r="G582" s="5" t="s">
        <v>26</v>
      </c>
      <c r="H582" s="5" t="s">
        <v>29</v>
      </c>
      <c r="I582" s="31">
        <v>0</v>
      </c>
      <c r="J582" s="31">
        <v>5900</v>
      </c>
      <c r="K582" s="6" t="str">
        <f t="shared" si="19"/>
        <v>1-POR VENCER</v>
      </c>
      <c r="L582" s="7" t="str">
        <f>_xlfn.CONCAT(TEXT(MONTH(DATA[[#This Row],[FECHA DE VENCIMIENTO]]),"00"),"-",TEXT(DATA[[#This Row],[FECHA DE VENCIMIENTO]],"MMM"))</f>
        <v>12-Dic</v>
      </c>
    </row>
    <row r="583" spans="1:12" hidden="1" x14ac:dyDescent="0.3">
      <c r="A583" s="3">
        <v>44872</v>
      </c>
      <c r="B583" s="3">
        <v>44902</v>
      </c>
      <c r="C583" s="4">
        <f t="shared" si="18"/>
        <v>8</v>
      </c>
      <c r="D583" s="5" t="s">
        <v>475</v>
      </c>
      <c r="E583" s="5">
        <v>20482076425</v>
      </c>
      <c r="F583" s="5" t="s">
        <v>476</v>
      </c>
      <c r="G583" s="5" t="s">
        <v>58</v>
      </c>
      <c r="H583" s="5" t="s">
        <v>7</v>
      </c>
      <c r="I583" s="31">
        <v>495.6</v>
      </c>
      <c r="J583" s="31">
        <v>0</v>
      </c>
      <c r="K583" s="6" t="str">
        <f t="shared" si="19"/>
        <v>1-POR VENCER</v>
      </c>
      <c r="L583" s="7" t="str">
        <f>_xlfn.CONCAT(TEXT(MONTH(DATA[[#This Row],[FECHA DE VENCIMIENTO]]),"00"),"-",TEXT(DATA[[#This Row],[FECHA DE VENCIMIENTO]],"MMM"))</f>
        <v>12-Dic</v>
      </c>
    </row>
    <row r="584" spans="1:12" hidden="1" x14ac:dyDescent="0.3">
      <c r="A584" s="3">
        <v>44872</v>
      </c>
      <c r="B584" s="3">
        <v>44902</v>
      </c>
      <c r="C584" s="4">
        <f t="shared" si="18"/>
        <v>8</v>
      </c>
      <c r="D584" s="5" t="s">
        <v>505</v>
      </c>
      <c r="E584" s="5">
        <v>20320731314</v>
      </c>
      <c r="F584" s="5" t="s">
        <v>331</v>
      </c>
      <c r="G584" s="5" t="s">
        <v>16</v>
      </c>
      <c r="H584" s="5" t="s">
        <v>29</v>
      </c>
      <c r="I584" s="31">
        <v>0</v>
      </c>
      <c r="J584" s="31">
        <v>8477.1200000000008</v>
      </c>
      <c r="K584" s="6" t="str">
        <f t="shared" si="19"/>
        <v>1-POR VENCER</v>
      </c>
      <c r="L584" s="7" t="str">
        <f>_xlfn.CONCAT(TEXT(MONTH(DATA[[#This Row],[FECHA DE VENCIMIENTO]]),"00"),"-",TEXT(DATA[[#This Row],[FECHA DE VENCIMIENTO]],"MMM"))</f>
        <v>12-Dic</v>
      </c>
    </row>
    <row r="585" spans="1:12" hidden="1" x14ac:dyDescent="0.3">
      <c r="A585" s="3">
        <v>44872</v>
      </c>
      <c r="B585" s="3">
        <v>44902</v>
      </c>
      <c r="C585" s="4">
        <f t="shared" si="18"/>
        <v>8</v>
      </c>
      <c r="D585" s="5" t="s">
        <v>667</v>
      </c>
      <c r="E585" s="5">
        <v>20132100552</v>
      </c>
      <c r="F585" s="5" t="s">
        <v>660</v>
      </c>
      <c r="G585" s="5" t="s">
        <v>58</v>
      </c>
      <c r="H585" s="5" t="s">
        <v>29</v>
      </c>
      <c r="I585" s="31">
        <v>0</v>
      </c>
      <c r="J585" s="31">
        <v>2003.99</v>
      </c>
      <c r="K585" s="6" t="str">
        <f t="shared" si="19"/>
        <v>1-POR VENCER</v>
      </c>
      <c r="L585" s="7" t="str">
        <f>_xlfn.CONCAT(TEXT(MONTH(DATA[[#This Row],[FECHA DE VENCIMIENTO]]),"00"),"-",TEXT(DATA[[#This Row],[FECHA DE VENCIMIENTO]],"MMM"))</f>
        <v>12-Dic</v>
      </c>
    </row>
    <row r="586" spans="1:12" hidden="1" x14ac:dyDescent="0.3">
      <c r="A586" s="3">
        <v>44872</v>
      </c>
      <c r="B586" s="3">
        <v>44902</v>
      </c>
      <c r="C586" s="4">
        <f t="shared" si="18"/>
        <v>8</v>
      </c>
      <c r="D586" s="5" t="s">
        <v>669</v>
      </c>
      <c r="E586" s="5">
        <v>20132100552</v>
      </c>
      <c r="F586" s="5" t="s">
        <v>660</v>
      </c>
      <c r="G586" s="5" t="s">
        <v>58</v>
      </c>
      <c r="H586" s="5" t="s">
        <v>29</v>
      </c>
      <c r="I586" s="31">
        <v>0</v>
      </c>
      <c r="J586" s="31">
        <v>2721.08</v>
      </c>
      <c r="K586" s="6" t="str">
        <f t="shared" si="19"/>
        <v>1-POR VENCER</v>
      </c>
      <c r="L586" s="7" t="str">
        <f>_xlfn.CONCAT(TEXT(MONTH(DATA[[#This Row],[FECHA DE VENCIMIENTO]]),"00"),"-",TEXT(DATA[[#This Row],[FECHA DE VENCIMIENTO]],"MMM"))</f>
        <v>12-Dic</v>
      </c>
    </row>
    <row r="587" spans="1:12" hidden="1" x14ac:dyDescent="0.3">
      <c r="A587" s="3">
        <v>44902</v>
      </c>
      <c r="B587" s="3">
        <v>44902</v>
      </c>
      <c r="C587" s="4">
        <f t="shared" si="18"/>
        <v>8</v>
      </c>
      <c r="D587" s="5" t="s">
        <v>724</v>
      </c>
      <c r="E587" s="5">
        <v>20392847155</v>
      </c>
      <c r="F587" s="5" t="s">
        <v>53</v>
      </c>
      <c r="G587" s="5" t="s">
        <v>16</v>
      </c>
      <c r="H587" s="5" t="s">
        <v>29</v>
      </c>
      <c r="I587" s="31">
        <v>0</v>
      </c>
      <c r="J587" s="31">
        <v>376.42</v>
      </c>
      <c r="K587" s="6" t="str">
        <f t="shared" si="19"/>
        <v>1-POR VENCER</v>
      </c>
      <c r="L587" s="7" t="str">
        <f>_xlfn.CONCAT(TEXT(MONTH(DATA[[#This Row],[FECHA DE VENCIMIENTO]]),"00"),"-",TEXT(DATA[[#This Row],[FECHA DE VENCIMIENTO]],"MMM"))</f>
        <v>12-Dic</v>
      </c>
    </row>
    <row r="588" spans="1:12" hidden="1" x14ac:dyDescent="0.3">
      <c r="A588" s="3">
        <v>44872</v>
      </c>
      <c r="B588" s="3">
        <v>44902</v>
      </c>
      <c r="C588" s="4">
        <f t="shared" si="18"/>
        <v>8</v>
      </c>
      <c r="D588" s="5" t="s">
        <v>813</v>
      </c>
      <c r="E588" s="5">
        <v>20467089464</v>
      </c>
      <c r="F588" s="5" t="s">
        <v>810</v>
      </c>
      <c r="G588" s="5" t="s">
        <v>26</v>
      </c>
      <c r="H588" s="5" t="s">
        <v>29</v>
      </c>
      <c r="I588" s="31">
        <v>0</v>
      </c>
      <c r="J588" s="31">
        <v>708</v>
      </c>
      <c r="K588" s="6" t="str">
        <f t="shared" si="19"/>
        <v>1-POR VENCER</v>
      </c>
      <c r="L588" s="7" t="str">
        <f>_xlfn.CONCAT(TEXT(MONTH(DATA[[#This Row],[FECHA DE VENCIMIENTO]]),"00"),"-",TEXT(DATA[[#This Row],[FECHA DE VENCIMIENTO]],"MMM"))</f>
        <v>12-Dic</v>
      </c>
    </row>
    <row r="589" spans="1:12" hidden="1" x14ac:dyDescent="0.3">
      <c r="A589" s="3">
        <v>44895</v>
      </c>
      <c r="B589" s="3">
        <v>44902</v>
      </c>
      <c r="C589" s="4">
        <f t="shared" si="18"/>
        <v>8</v>
      </c>
      <c r="D589" s="5" t="s">
        <v>862</v>
      </c>
      <c r="E589" s="5">
        <v>20534406496</v>
      </c>
      <c r="F589" s="5" t="s">
        <v>359</v>
      </c>
      <c r="G589" s="5" t="s">
        <v>13</v>
      </c>
      <c r="H589" s="5" t="s">
        <v>7</v>
      </c>
      <c r="I589" s="31">
        <v>7670</v>
      </c>
      <c r="J589" s="31">
        <v>0</v>
      </c>
      <c r="K589" s="6" t="str">
        <f t="shared" si="19"/>
        <v>1-POR VENCER</v>
      </c>
      <c r="L589" s="7" t="str">
        <f>_xlfn.CONCAT(TEXT(MONTH(DATA[[#This Row],[FECHA DE VENCIMIENTO]]),"00"),"-",TEXT(DATA[[#This Row],[FECHA DE VENCIMIENTO]],"MMM"))</f>
        <v>12-Dic</v>
      </c>
    </row>
    <row r="590" spans="1:12" hidden="1" x14ac:dyDescent="0.3">
      <c r="A590" s="3">
        <v>44902</v>
      </c>
      <c r="B590" s="3">
        <v>44902</v>
      </c>
      <c r="C590" s="4">
        <f t="shared" si="18"/>
        <v>8</v>
      </c>
      <c r="D590" s="5" t="s">
        <v>868</v>
      </c>
      <c r="E590" s="5">
        <v>20534979003</v>
      </c>
      <c r="F590" s="5" t="s">
        <v>869</v>
      </c>
      <c r="G590" s="5" t="s">
        <v>13</v>
      </c>
      <c r="H590" s="5" t="s">
        <v>7</v>
      </c>
      <c r="I590" s="31">
        <v>4790.8</v>
      </c>
      <c r="J590" s="31">
        <v>0</v>
      </c>
      <c r="K590" s="6" t="str">
        <f t="shared" si="19"/>
        <v>1-POR VENCER</v>
      </c>
      <c r="L590" s="7" t="str">
        <f>_xlfn.CONCAT(TEXT(MONTH(DATA[[#This Row],[FECHA DE VENCIMIENTO]]),"00"),"-",TEXT(DATA[[#This Row],[FECHA DE VENCIMIENTO]],"MMM"))</f>
        <v>12-Dic</v>
      </c>
    </row>
    <row r="591" spans="1:12" hidden="1" x14ac:dyDescent="0.3">
      <c r="A591" s="3">
        <v>44872</v>
      </c>
      <c r="B591" s="3">
        <v>44902</v>
      </c>
      <c r="C591" s="4">
        <f t="shared" si="18"/>
        <v>8</v>
      </c>
      <c r="D591" s="5" t="s">
        <v>973</v>
      </c>
      <c r="E591" s="5">
        <v>20600450329</v>
      </c>
      <c r="F591" s="5" t="s">
        <v>341</v>
      </c>
      <c r="G591" s="5" t="s">
        <v>13</v>
      </c>
      <c r="H591" s="5" t="s">
        <v>7</v>
      </c>
      <c r="I591" s="31">
        <v>8043.03</v>
      </c>
      <c r="J591" s="31">
        <v>0</v>
      </c>
      <c r="K591" s="6" t="str">
        <f t="shared" si="19"/>
        <v>1-POR VENCER</v>
      </c>
      <c r="L591" s="7" t="str">
        <f>_xlfn.CONCAT(TEXT(MONTH(DATA[[#This Row],[FECHA DE VENCIMIENTO]]),"00"),"-",TEXT(DATA[[#This Row],[FECHA DE VENCIMIENTO]],"MMM"))</f>
        <v>12-Dic</v>
      </c>
    </row>
    <row r="592" spans="1:12" hidden="1" x14ac:dyDescent="0.3">
      <c r="A592" s="3">
        <v>44872</v>
      </c>
      <c r="B592" s="3">
        <v>44902</v>
      </c>
      <c r="C592" s="4">
        <f t="shared" si="18"/>
        <v>8</v>
      </c>
      <c r="D592" s="5" t="s">
        <v>1004</v>
      </c>
      <c r="E592" s="5">
        <v>20601433584</v>
      </c>
      <c r="F592" s="5" t="s">
        <v>1003</v>
      </c>
      <c r="G592" s="5" t="s">
        <v>58</v>
      </c>
      <c r="H592" s="5" t="s">
        <v>29</v>
      </c>
      <c r="I592" s="31">
        <v>0</v>
      </c>
      <c r="J592" s="31">
        <v>308.69</v>
      </c>
      <c r="K592" s="6" t="str">
        <f t="shared" si="19"/>
        <v>1-POR VENCER</v>
      </c>
      <c r="L592" s="7" t="str">
        <f>_xlfn.CONCAT(TEXT(MONTH(DATA[[#This Row],[FECHA DE VENCIMIENTO]]),"00"),"-",TEXT(DATA[[#This Row],[FECHA DE VENCIMIENTO]],"MMM"))</f>
        <v>12-Dic</v>
      </c>
    </row>
    <row r="593" spans="1:12" hidden="1" x14ac:dyDescent="0.3">
      <c r="A593" s="3">
        <v>44872</v>
      </c>
      <c r="B593" s="3">
        <v>44902</v>
      </c>
      <c r="C593" s="4">
        <f t="shared" si="18"/>
        <v>8</v>
      </c>
      <c r="D593" s="5" t="s">
        <v>1081</v>
      </c>
      <c r="E593" s="5">
        <v>10429225413</v>
      </c>
      <c r="F593" s="5" t="s">
        <v>1079</v>
      </c>
      <c r="G593" s="5" t="s">
        <v>16</v>
      </c>
      <c r="H593" s="5" t="s">
        <v>7</v>
      </c>
      <c r="I593" s="31">
        <v>561</v>
      </c>
      <c r="J593" s="31">
        <v>0</v>
      </c>
      <c r="K593" s="6" t="str">
        <f t="shared" si="19"/>
        <v>1-POR VENCER</v>
      </c>
      <c r="L593" s="7" t="str">
        <f>_xlfn.CONCAT(TEXT(MONTH(DATA[[#This Row],[FECHA DE VENCIMIENTO]]),"00"),"-",TEXT(DATA[[#This Row],[FECHA DE VENCIMIENTO]],"MMM"))</f>
        <v>12-Dic</v>
      </c>
    </row>
    <row r="594" spans="1:12" hidden="1" x14ac:dyDescent="0.3">
      <c r="A594" s="3">
        <v>44782</v>
      </c>
      <c r="B594" s="3">
        <v>44902</v>
      </c>
      <c r="C594" s="4">
        <f t="shared" si="18"/>
        <v>8</v>
      </c>
      <c r="D594" s="5" t="s">
        <v>1234</v>
      </c>
      <c r="E594" s="5">
        <v>20100154308</v>
      </c>
      <c r="F594" s="5" t="s">
        <v>1217</v>
      </c>
      <c r="G594" s="5" t="s">
        <v>16</v>
      </c>
      <c r="H594" s="5" t="s">
        <v>7</v>
      </c>
      <c r="I594" s="31">
        <v>10358.040000000001</v>
      </c>
      <c r="J594" s="31">
        <v>0</v>
      </c>
      <c r="K594" s="6" t="str">
        <f t="shared" si="19"/>
        <v>1-POR VENCER</v>
      </c>
      <c r="L594" s="7" t="str">
        <f>_xlfn.CONCAT(TEXT(MONTH(DATA[[#This Row],[FECHA DE VENCIMIENTO]]),"00"),"-",TEXT(DATA[[#This Row],[FECHA DE VENCIMIENTO]],"MMM"))</f>
        <v>12-Dic</v>
      </c>
    </row>
    <row r="595" spans="1:12" hidden="1" x14ac:dyDescent="0.3">
      <c r="A595" s="3">
        <v>44873</v>
      </c>
      <c r="B595" s="3">
        <v>44903</v>
      </c>
      <c r="C595" s="4">
        <f t="shared" si="18"/>
        <v>7</v>
      </c>
      <c r="D595" s="5" t="s">
        <v>486</v>
      </c>
      <c r="E595" s="5">
        <v>20540079227</v>
      </c>
      <c r="F595" s="5" t="s">
        <v>482</v>
      </c>
      <c r="G595" s="5" t="s">
        <v>58</v>
      </c>
      <c r="H595" s="5" t="s">
        <v>7</v>
      </c>
      <c r="I595" s="31">
        <v>951.65</v>
      </c>
      <c r="J595" s="31">
        <v>0</v>
      </c>
      <c r="K595" s="6" t="str">
        <f t="shared" si="19"/>
        <v>1-POR VENCER</v>
      </c>
      <c r="L595" s="7" t="str">
        <f>_xlfn.CONCAT(TEXT(MONTH(DATA[[#This Row],[FECHA DE VENCIMIENTO]]),"00"),"-",TEXT(DATA[[#This Row],[FECHA DE VENCIMIENTO]],"MMM"))</f>
        <v>12-Dic</v>
      </c>
    </row>
    <row r="596" spans="1:12" hidden="1" x14ac:dyDescent="0.3">
      <c r="A596" s="3">
        <v>44873</v>
      </c>
      <c r="B596" s="3">
        <v>44903</v>
      </c>
      <c r="C596" s="4">
        <f t="shared" si="18"/>
        <v>7</v>
      </c>
      <c r="D596" s="5" t="s">
        <v>577</v>
      </c>
      <c r="E596" s="5">
        <v>20605834354</v>
      </c>
      <c r="F596" s="5" t="s">
        <v>576</v>
      </c>
      <c r="G596" s="5" t="s">
        <v>13</v>
      </c>
      <c r="H596" s="5" t="s">
        <v>29</v>
      </c>
      <c r="I596" s="31">
        <v>0</v>
      </c>
      <c r="J596" s="31">
        <v>945.18</v>
      </c>
      <c r="K596" s="6" t="str">
        <f t="shared" si="19"/>
        <v>1-POR VENCER</v>
      </c>
      <c r="L596" s="7" t="str">
        <f>_xlfn.CONCAT(TEXT(MONTH(DATA[[#This Row],[FECHA DE VENCIMIENTO]]),"00"),"-",TEXT(DATA[[#This Row],[FECHA DE VENCIMIENTO]],"MMM"))</f>
        <v>12-Dic</v>
      </c>
    </row>
    <row r="597" spans="1:12" ht="31.2" hidden="1" x14ac:dyDescent="0.3">
      <c r="A597" s="3">
        <v>44873</v>
      </c>
      <c r="B597" s="3">
        <v>44903</v>
      </c>
      <c r="C597" s="4">
        <f t="shared" si="18"/>
        <v>7</v>
      </c>
      <c r="D597" s="5" t="s">
        <v>937</v>
      </c>
      <c r="E597" s="5">
        <v>20533031707</v>
      </c>
      <c r="F597" s="5" t="s">
        <v>935</v>
      </c>
      <c r="G597" s="5" t="s">
        <v>33</v>
      </c>
      <c r="H597" s="5" t="s">
        <v>7</v>
      </c>
      <c r="I597" s="31">
        <v>245.49</v>
      </c>
      <c r="J597" s="31">
        <v>0</v>
      </c>
      <c r="K597" s="6" t="str">
        <f t="shared" si="19"/>
        <v>1-POR VENCER</v>
      </c>
      <c r="L597" s="7" t="str">
        <f>_xlfn.CONCAT(TEXT(MONTH(DATA[[#This Row],[FECHA DE VENCIMIENTO]]),"00"),"-",TEXT(DATA[[#This Row],[FECHA DE VENCIMIENTO]],"MMM"))</f>
        <v>12-Dic</v>
      </c>
    </row>
    <row r="598" spans="1:12" hidden="1" x14ac:dyDescent="0.3">
      <c r="A598" s="3">
        <v>44783</v>
      </c>
      <c r="B598" s="3">
        <v>44903</v>
      </c>
      <c r="C598" s="4">
        <f t="shared" si="18"/>
        <v>7</v>
      </c>
      <c r="D598" s="5" t="s">
        <v>1219</v>
      </c>
      <c r="E598" s="5">
        <v>20100154308</v>
      </c>
      <c r="F598" s="5" t="s">
        <v>1217</v>
      </c>
      <c r="G598" s="5" t="s">
        <v>16</v>
      </c>
      <c r="H598" s="5" t="s">
        <v>7</v>
      </c>
      <c r="I598" s="31">
        <v>247.8</v>
      </c>
      <c r="J598" s="31">
        <v>0</v>
      </c>
      <c r="K598" s="6" t="str">
        <f t="shared" si="19"/>
        <v>1-POR VENCER</v>
      </c>
      <c r="L598" s="7" t="str">
        <f>_xlfn.CONCAT(TEXT(MONTH(DATA[[#This Row],[FECHA DE VENCIMIENTO]]),"00"),"-",TEXT(DATA[[#This Row],[FECHA DE VENCIMIENTO]],"MMM"))</f>
        <v>12-Dic</v>
      </c>
    </row>
    <row r="599" spans="1:12" hidden="1" x14ac:dyDescent="0.3">
      <c r="A599" s="3">
        <v>44874</v>
      </c>
      <c r="B599" s="3">
        <v>44904</v>
      </c>
      <c r="C599" s="4">
        <f t="shared" si="18"/>
        <v>6</v>
      </c>
      <c r="D599" s="5" t="s">
        <v>541</v>
      </c>
      <c r="E599" s="5">
        <v>20104508023</v>
      </c>
      <c r="F599" s="5" t="s">
        <v>540</v>
      </c>
      <c r="G599" s="5" t="s">
        <v>13</v>
      </c>
      <c r="H599" s="5" t="s">
        <v>7</v>
      </c>
      <c r="I599" s="31">
        <v>12410.65</v>
      </c>
      <c r="J599" s="31">
        <v>0</v>
      </c>
      <c r="K599" s="6" t="str">
        <f t="shared" si="19"/>
        <v>1-POR VENCER</v>
      </c>
      <c r="L599" s="7" t="str">
        <f>_xlfn.CONCAT(TEXT(MONTH(DATA[[#This Row],[FECHA DE VENCIMIENTO]]),"00"),"-",TEXT(DATA[[#This Row],[FECHA DE VENCIMIENTO]],"MMM"))</f>
        <v>12-Dic</v>
      </c>
    </row>
    <row r="600" spans="1:12" hidden="1" x14ac:dyDescent="0.3">
      <c r="A600" s="3">
        <v>44874</v>
      </c>
      <c r="B600" s="3">
        <v>44904</v>
      </c>
      <c r="C600" s="4">
        <f t="shared" si="18"/>
        <v>6</v>
      </c>
      <c r="D600" s="5" t="s">
        <v>542</v>
      </c>
      <c r="E600" s="5">
        <v>20104508023</v>
      </c>
      <c r="F600" s="5" t="s">
        <v>540</v>
      </c>
      <c r="G600" s="5" t="s">
        <v>13</v>
      </c>
      <c r="H600" s="5" t="s">
        <v>7</v>
      </c>
      <c r="I600" s="31">
        <v>2860.13</v>
      </c>
      <c r="J600" s="31">
        <v>0</v>
      </c>
      <c r="K600" s="6" t="str">
        <f t="shared" si="19"/>
        <v>1-POR VENCER</v>
      </c>
      <c r="L600" s="7" t="str">
        <f>_xlfn.CONCAT(TEXT(MONTH(DATA[[#This Row],[FECHA DE VENCIMIENTO]]),"00"),"-",TEXT(DATA[[#This Row],[FECHA DE VENCIMIENTO]],"MMM"))</f>
        <v>12-Dic</v>
      </c>
    </row>
    <row r="601" spans="1:12" hidden="1" x14ac:dyDescent="0.3">
      <c r="A601" s="3">
        <v>44844</v>
      </c>
      <c r="B601" s="3">
        <v>44904</v>
      </c>
      <c r="C601" s="4">
        <f t="shared" si="18"/>
        <v>6</v>
      </c>
      <c r="D601" s="5" t="s">
        <v>559</v>
      </c>
      <c r="E601" s="5">
        <v>20132292109</v>
      </c>
      <c r="F601" s="5" t="s">
        <v>557</v>
      </c>
      <c r="G601" s="5" t="s">
        <v>58</v>
      </c>
      <c r="H601" s="5" t="s">
        <v>29</v>
      </c>
      <c r="I601" s="31">
        <v>0</v>
      </c>
      <c r="J601" s="31">
        <v>105.32</v>
      </c>
      <c r="K601" s="6" t="str">
        <f t="shared" si="19"/>
        <v>1-POR VENCER</v>
      </c>
      <c r="L601" s="7" t="str">
        <f>_xlfn.CONCAT(TEXT(MONTH(DATA[[#This Row],[FECHA DE VENCIMIENTO]]),"00"),"-",TEXT(DATA[[#This Row],[FECHA DE VENCIMIENTO]],"MMM"))</f>
        <v>12-Dic</v>
      </c>
    </row>
    <row r="602" spans="1:12" hidden="1" x14ac:dyDescent="0.3">
      <c r="A602" s="3">
        <v>44844</v>
      </c>
      <c r="B602" s="3">
        <v>44904</v>
      </c>
      <c r="C602" s="4">
        <f t="shared" si="18"/>
        <v>6</v>
      </c>
      <c r="D602" s="5" t="s">
        <v>696</v>
      </c>
      <c r="E602" s="5">
        <v>20132373958</v>
      </c>
      <c r="F602" s="5" t="s">
        <v>697</v>
      </c>
      <c r="G602" s="5" t="s">
        <v>58</v>
      </c>
      <c r="H602" s="5" t="s">
        <v>7</v>
      </c>
      <c r="I602" s="31">
        <v>1758.2</v>
      </c>
      <c r="J602" s="31">
        <v>0</v>
      </c>
      <c r="K602" s="6" t="str">
        <f t="shared" si="19"/>
        <v>1-POR VENCER</v>
      </c>
      <c r="L602" s="7" t="str">
        <f>_xlfn.CONCAT(TEXT(MONTH(DATA[[#This Row],[FECHA DE VENCIMIENTO]]),"00"),"-",TEXT(DATA[[#This Row],[FECHA DE VENCIMIENTO]],"MMM"))</f>
        <v>12-Dic</v>
      </c>
    </row>
    <row r="603" spans="1:12" hidden="1" x14ac:dyDescent="0.3">
      <c r="A603" s="3">
        <v>44844</v>
      </c>
      <c r="B603" s="3">
        <v>44904</v>
      </c>
      <c r="C603" s="4">
        <f t="shared" si="18"/>
        <v>6</v>
      </c>
      <c r="D603" s="5" t="s">
        <v>746</v>
      </c>
      <c r="E603" s="5">
        <v>20506421781</v>
      </c>
      <c r="F603" s="5" t="s">
        <v>735</v>
      </c>
      <c r="G603" s="5" t="s">
        <v>33</v>
      </c>
      <c r="H603" s="5" t="s">
        <v>29</v>
      </c>
      <c r="I603" s="31">
        <v>0</v>
      </c>
      <c r="J603" s="31">
        <v>4394.32</v>
      </c>
      <c r="K603" s="6" t="str">
        <f t="shared" si="19"/>
        <v>1-POR VENCER</v>
      </c>
      <c r="L603" s="7" t="str">
        <f>_xlfn.CONCAT(TEXT(MONTH(DATA[[#This Row],[FECHA DE VENCIMIENTO]]),"00"),"-",TEXT(DATA[[#This Row],[FECHA DE VENCIMIENTO]],"MMM"))</f>
        <v>12-Dic</v>
      </c>
    </row>
    <row r="604" spans="1:12" ht="31.2" hidden="1" x14ac:dyDescent="0.3">
      <c r="A604" s="3">
        <v>44844</v>
      </c>
      <c r="B604" s="3">
        <v>44904</v>
      </c>
      <c r="C604" s="4">
        <f t="shared" si="18"/>
        <v>6</v>
      </c>
      <c r="D604" s="5" t="s">
        <v>764</v>
      </c>
      <c r="E604" s="5">
        <v>20494022797</v>
      </c>
      <c r="F604" s="5" t="s">
        <v>377</v>
      </c>
      <c r="G604" s="5" t="s">
        <v>46</v>
      </c>
      <c r="H604" s="5" t="s">
        <v>7</v>
      </c>
      <c r="I604" s="31">
        <v>15469.53</v>
      </c>
      <c r="J604" s="31">
        <v>0</v>
      </c>
      <c r="K604" s="6" t="str">
        <f t="shared" si="19"/>
        <v>1-POR VENCER</v>
      </c>
      <c r="L604" s="7" t="str">
        <f>_xlfn.CONCAT(TEXT(MONTH(DATA[[#This Row],[FECHA DE VENCIMIENTO]]),"00"),"-",TEXT(DATA[[#This Row],[FECHA DE VENCIMIENTO]],"MMM"))</f>
        <v>12-Dic</v>
      </c>
    </row>
    <row r="605" spans="1:12" hidden="1" x14ac:dyDescent="0.3">
      <c r="A605" s="3">
        <v>44859</v>
      </c>
      <c r="B605" s="3">
        <v>44904</v>
      </c>
      <c r="C605" s="4">
        <f t="shared" si="18"/>
        <v>6</v>
      </c>
      <c r="D605" s="5" t="s">
        <v>866</v>
      </c>
      <c r="E605" s="5">
        <v>20534406496</v>
      </c>
      <c r="F605" s="5" t="s">
        <v>359</v>
      </c>
      <c r="G605" s="5" t="s">
        <v>13</v>
      </c>
      <c r="H605" s="5" t="s">
        <v>7</v>
      </c>
      <c r="I605" s="31">
        <v>1604.8</v>
      </c>
      <c r="J605" s="31">
        <v>0</v>
      </c>
      <c r="K605" s="6" t="str">
        <f t="shared" si="19"/>
        <v>1-POR VENCER</v>
      </c>
      <c r="L605" s="7" t="str">
        <f>_xlfn.CONCAT(TEXT(MONTH(DATA[[#This Row],[FECHA DE VENCIMIENTO]]),"00"),"-",TEXT(DATA[[#This Row],[FECHA DE VENCIMIENTO]],"MMM"))</f>
        <v>12-Dic</v>
      </c>
    </row>
    <row r="606" spans="1:12" ht="31.2" hidden="1" x14ac:dyDescent="0.3">
      <c r="A606" s="3">
        <v>44874</v>
      </c>
      <c r="B606" s="3">
        <v>44904</v>
      </c>
      <c r="C606" s="4">
        <f t="shared" si="18"/>
        <v>6</v>
      </c>
      <c r="D606" s="5" t="s">
        <v>949</v>
      </c>
      <c r="E606" s="5">
        <v>20479862738</v>
      </c>
      <c r="F606" s="5" t="s">
        <v>950</v>
      </c>
      <c r="G606" s="5" t="s">
        <v>46</v>
      </c>
      <c r="H606" s="5" t="s">
        <v>29</v>
      </c>
      <c r="I606" s="31">
        <v>0</v>
      </c>
      <c r="J606" s="31">
        <v>1461.31</v>
      </c>
      <c r="K606" s="6" t="str">
        <f t="shared" si="19"/>
        <v>1-POR VENCER</v>
      </c>
      <c r="L606" s="7" t="str">
        <f>_xlfn.CONCAT(TEXT(MONTH(DATA[[#This Row],[FECHA DE VENCIMIENTO]]),"00"),"-",TEXT(DATA[[#This Row],[FECHA DE VENCIMIENTO]],"MMM"))</f>
        <v>12-Dic</v>
      </c>
    </row>
    <row r="607" spans="1:12" hidden="1" x14ac:dyDescent="0.3">
      <c r="A607" s="3">
        <v>44897</v>
      </c>
      <c r="B607" s="3">
        <v>44904</v>
      </c>
      <c r="C607" s="4">
        <f t="shared" si="18"/>
        <v>6</v>
      </c>
      <c r="D607" s="5" t="s">
        <v>984</v>
      </c>
      <c r="E607" s="5">
        <v>20606113758</v>
      </c>
      <c r="F607" s="5" t="s">
        <v>174</v>
      </c>
      <c r="G607" s="5" t="s">
        <v>13</v>
      </c>
      <c r="H607" s="5" t="s">
        <v>7</v>
      </c>
      <c r="I607" s="31">
        <v>3729.74</v>
      </c>
      <c r="J607" s="31">
        <v>0</v>
      </c>
      <c r="K607" s="6" t="str">
        <f t="shared" si="19"/>
        <v>1-POR VENCER</v>
      </c>
      <c r="L607" s="7" t="str">
        <f>_xlfn.CONCAT(TEXT(MONTH(DATA[[#This Row],[FECHA DE VENCIMIENTO]]),"00"),"-",TEXT(DATA[[#This Row],[FECHA DE VENCIMIENTO]],"MMM"))</f>
        <v>12-Dic</v>
      </c>
    </row>
    <row r="608" spans="1:12" hidden="1" x14ac:dyDescent="0.3">
      <c r="A608" s="3">
        <v>44844</v>
      </c>
      <c r="B608" s="3">
        <v>44904</v>
      </c>
      <c r="C608" s="4">
        <f t="shared" si="18"/>
        <v>6</v>
      </c>
      <c r="D608" s="5" t="s">
        <v>1147</v>
      </c>
      <c r="E608" s="5">
        <v>20600728688</v>
      </c>
      <c r="F608" s="5" t="s">
        <v>12</v>
      </c>
      <c r="G608" s="5" t="s">
        <v>13</v>
      </c>
      <c r="H608" s="5" t="s">
        <v>7</v>
      </c>
      <c r="I608" s="31">
        <v>1076.3</v>
      </c>
      <c r="J608" s="31">
        <v>0</v>
      </c>
      <c r="K608" s="6" t="str">
        <f t="shared" si="19"/>
        <v>1-POR VENCER</v>
      </c>
      <c r="L608" s="7" t="str">
        <f>_xlfn.CONCAT(TEXT(MONTH(DATA[[#This Row],[FECHA DE VENCIMIENTO]]),"00"),"-",TEXT(DATA[[#This Row],[FECHA DE VENCIMIENTO]],"MMM"))</f>
        <v>12-Dic</v>
      </c>
    </row>
    <row r="609" spans="1:12" hidden="1" x14ac:dyDescent="0.3">
      <c r="A609" s="3">
        <v>44844</v>
      </c>
      <c r="B609" s="3">
        <v>44904</v>
      </c>
      <c r="C609" s="4">
        <f t="shared" si="18"/>
        <v>6</v>
      </c>
      <c r="D609" s="5" t="s">
        <v>1190</v>
      </c>
      <c r="E609" s="5">
        <v>20221084684</v>
      </c>
      <c r="F609" s="5" t="s">
        <v>1191</v>
      </c>
      <c r="G609" s="5" t="s">
        <v>16</v>
      </c>
      <c r="H609" s="5" t="s">
        <v>7</v>
      </c>
      <c r="I609" s="31">
        <v>226560</v>
      </c>
      <c r="J609" s="31">
        <v>0</v>
      </c>
      <c r="K609" s="6" t="str">
        <f t="shared" si="19"/>
        <v>1-POR VENCER</v>
      </c>
      <c r="L609" s="7" t="str">
        <f>_xlfn.CONCAT(TEXT(MONTH(DATA[[#This Row],[FECHA DE VENCIMIENTO]]),"00"),"-",TEXT(DATA[[#This Row],[FECHA DE VENCIMIENTO]],"MMM"))</f>
        <v>12-Dic</v>
      </c>
    </row>
    <row r="610" spans="1:12" hidden="1" x14ac:dyDescent="0.3">
      <c r="A610" s="3">
        <v>44844</v>
      </c>
      <c r="B610" s="3">
        <v>44904</v>
      </c>
      <c r="C610" s="4">
        <f t="shared" si="18"/>
        <v>6</v>
      </c>
      <c r="D610" s="5" t="s">
        <v>1192</v>
      </c>
      <c r="E610" s="5">
        <v>20221084684</v>
      </c>
      <c r="F610" s="5" t="s">
        <v>1191</v>
      </c>
      <c r="G610" s="5" t="s">
        <v>16</v>
      </c>
      <c r="H610" s="5" t="s">
        <v>29</v>
      </c>
      <c r="I610" s="31">
        <v>0</v>
      </c>
      <c r="J610" s="31">
        <v>155.76</v>
      </c>
      <c r="K610" s="6" t="str">
        <f t="shared" si="19"/>
        <v>1-POR VENCER</v>
      </c>
      <c r="L610" s="7" t="str">
        <f>_xlfn.CONCAT(TEXT(MONTH(DATA[[#This Row],[FECHA DE VENCIMIENTO]]),"00"),"-",TEXT(DATA[[#This Row],[FECHA DE VENCIMIENTO]],"MMM"))</f>
        <v>12-Dic</v>
      </c>
    </row>
    <row r="611" spans="1:12" hidden="1" x14ac:dyDescent="0.3">
      <c r="A611" s="3">
        <v>44844</v>
      </c>
      <c r="B611" s="3">
        <v>44904</v>
      </c>
      <c r="C611" s="4">
        <f t="shared" si="18"/>
        <v>6</v>
      </c>
      <c r="D611" s="5" t="s">
        <v>1205</v>
      </c>
      <c r="E611" s="5">
        <v>20221084684</v>
      </c>
      <c r="F611" s="5" t="s">
        <v>1191</v>
      </c>
      <c r="G611" s="5" t="s">
        <v>16</v>
      </c>
      <c r="H611" s="5" t="s">
        <v>29</v>
      </c>
      <c r="I611" s="31">
        <v>0</v>
      </c>
      <c r="J611" s="31">
        <v>1203.5999999999999</v>
      </c>
      <c r="K611" s="6" t="str">
        <f t="shared" si="19"/>
        <v>1-POR VENCER</v>
      </c>
      <c r="L611" s="7" t="str">
        <f>_xlfn.CONCAT(TEXT(MONTH(DATA[[#This Row],[FECHA DE VENCIMIENTO]]),"00"),"-",TEXT(DATA[[#This Row],[FECHA DE VENCIMIENTO]],"MMM"))</f>
        <v>12-Dic</v>
      </c>
    </row>
    <row r="612" spans="1:12" ht="31.2" hidden="1" x14ac:dyDescent="0.3">
      <c r="A612" s="3">
        <v>44890</v>
      </c>
      <c r="B612" s="3">
        <v>44905</v>
      </c>
      <c r="C612" s="4">
        <f t="shared" si="18"/>
        <v>5</v>
      </c>
      <c r="D612" s="5" t="s">
        <v>721</v>
      </c>
      <c r="E612" s="5">
        <v>20307167442</v>
      </c>
      <c r="F612" s="5" t="s">
        <v>36</v>
      </c>
      <c r="G612" s="5" t="s">
        <v>26</v>
      </c>
      <c r="H612" s="5" t="s">
        <v>7</v>
      </c>
      <c r="I612" s="31">
        <v>9900</v>
      </c>
      <c r="J612" s="31">
        <v>0</v>
      </c>
      <c r="K612" s="6" t="str">
        <f t="shared" si="19"/>
        <v>1-POR VENCER</v>
      </c>
      <c r="L612" s="7" t="str">
        <f>_xlfn.CONCAT(TEXT(MONTH(DATA[[#This Row],[FECHA DE VENCIMIENTO]]),"00"),"-",TEXT(DATA[[#This Row],[FECHA DE VENCIMIENTO]],"MMM"))</f>
        <v>12-Dic</v>
      </c>
    </row>
    <row r="613" spans="1:12" hidden="1" x14ac:dyDescent="0.3">
      <c r="A613" s="3">
        <v>44845</v>
      </c>
      <c r="B613" s="3">
        <v>44905</v>
      </c>
      <c r="C613" s="4">
        <f t="shared" si="18"/>
        <v>5</v>
      </c>
      <c r="D613" s="5" t="s">
        <v>782</v>
      </c>
      <c r="E613" s="5">
        <v>20439320126</v>
      </c>
      <c r="F613" s="5" t="s">
        <v>777</v>
      </c>
      <c r="G613" s="5" t="s">
        <v>58</v>
      </c>
      <c r="H613" s="5" t="s">
        <v>29</v>
      </c>
      <c r="I613" s="31">
        <v>0</v>
      </c>
      <c r="J613" s="31">
        <v>743.99</v>
      </c>
      <c r="K613" s="6" t="str">
        <f t="shared" si="19"/>
        <v>1-POR VENCER</v>
      </c>
      <c r="L613" s="7" t="str">
        <f>_xlfn.CONCAT(TEXT(MONTH(DATA[[#This Row],[FECHA DE VENCIMIENTO]]),"00"),"-",TEXT(DATA[[#This Row],[FECHA DE VENCIMIENTO]],"MMM"))</f>
        <v>12-Dic</v>
      </c>
    </row>
    <row r="614" spans="1:12" hidden="1" x14ac:dyDescent="0.3">
      <c r="A614" s="3">
        <v>44875</v>
      </c>
      <c r="B614" s="3">
        <v>44905</v>
      </c>
      <c r="C614" s="4">
        <f t="shared" si="18"/>
        <v>5</v>
      </c>
      <c r="D614" s="5" t="s">
        <v>1082</v>
      </c>
      <c r="E614" s="5">
        <v>10429225413</v>
      </c>
      <c r="F614" s="5" t="s">
        <v>1079</v>
      </c>
      <c r="G614" s="5" t="s">
        <v>16</v>
      </c>
      <c r="H614" s="5" t="s">
        <v>29</v>
      </c>
      <c r="I614" s="31">
        <v>0</v>
      </c>
      <c r="J614" s="31">
        <v>310.33999999999997</v>
      </c>
      <c r="K614" s="6" t="str">
        <f t="shared" si="19"/>
        <v>1-POR VENCER</v>
      </c>
      <c r="L614" s="7" t="str">
        <f>_xlfn.CONCAT(TEXT(MONTH(DATA[[#This Row],[FECHA DE VENCIMIENTO]]),"00"),"-",TEXT(DATA[[#This Row],[FECHA DE VENCIMIENTO]],"MMM"))</f>
        <v>12-Dic</v>
      </c>
    </row>
    <row r="615" spans="1:12" ht="31.2" hidden="1" x14ac:dyDescent="0.3">
      <c r="A615" s="3">
        <v>44875</v>
      </c>
      <c r="B615" s="3">
        <v>44905</v>
      </c>
      <c r="C615" s="4">
        <f t="shared" si="18"/>
        <v>5</v>
      </c>
      <c r="D615" s="5" t="s">
        <v>1112</v>
      </c>
      <c r="E615" s="5">
        <v>20393514630</v>
      </c>
      <c r="F615" s="5" t="s">
        <v>1108</v>
      </c>
      <c r="G615" s="5" t="s">
        <v>46</v>
      </c>
      <c r="H615" s="5" t="s">
        <v>7</v>
      </c>
      <c r="I615" s="31">
        <v>6529.53</v>
      </c>
      <c r="J615" s="31">
        <v>0</v>
      </c>
      <c r="K615" s="6" t="str">
        <f t="shared" si="19"/>
        <v>1-POR VENCER</v>
      </c>
      <c r="L615" s="7" t="str">
        <f>_xlfn.CONCAT(TEXT(MONTH(DATA[[#This Row],[FECHA DE VENCIMIENTO]]),"00"),"-",TEXT(DATA[[#This Row],[FECHA DE VENCIMIENTO]],"MMM"))</f>
        <v>12-Dic</v>
      </c>
    </row>
    <row r="616" spans="1:12" hidden="1" x14ac:dyDescent="0.3">
      <c r="A616" s="3">
        <v>44875</v>
      </c>
      <c r="B616" s="3">
        <v>44905</v>
      </c>
      <c r="C616" s="4">
        <f t="shared" si="18"/>
        <v>5</v>
      </c>
      <c r="D616" s="5" t="s">
        <v>1121</v>
      </c>
      <c r="E616" s="5">
        <v>20481460159</v>
      </c>
      <c r="F616" s="5" t="s">
        <v>1120</v>
      </c>
      <c r="G616" s="5" t="s">
        <v>58</v>
      </c>
      <c r="H616" s="5" t="s">
        <v>7</v>
      </c>
      <c r="I616" s="31">
        <v>1212.6199999999999</v>
      </c>
      <c r="J616" s="31">
        <v>0</v>
      </c>
      <c r="K616" s="6" t="str">
        <f t="shared" si="19"/>
        <v>1-POR VENCER</v>
      </c>
      <c r="L616" s="7" t="str">
        <f>_xlfn.CONCAT(TEXT(MONTH(DATA[[#This Row],[FECHA DE VENCIMIENTO]]),"00"),"-",TEXT(DATA[[#This Row],[FECHA DE VENCIMIENTO]],"MMM"))</f>
        <v>12-Dic</v>
      </c>
    </row>
    <row r="617" spans="1:12" hidden="1" x14ac:dyDescent="0.3">
      <c r="A617" s="3">
        <v>44875</v>
      </c>
      <c r="B617" s="3">
        <v>44905</v>
      </c>
      <c r="C617" s="4">
        <f t="shared" si="18"/>
        <v>5</v>
      </c>
      <c r="D617" s="5" t="s">
        <v>1122</v>
      </c>
      <c r="E617" s="5">
        <v>20481460159</v>
      </c>
      <c r="F617" s="5" t="s">
        <v>1120</v>
      </c>
      <c r="G617" s="5" t="s">
        <v>58</v>
      </c>
      <c r="H617" s="5" t="s">
        <v>29</v>
      </c>
      <c r="I617" s="31">
        <v>0</v>
      </c>
      <c r="J617" s="31">
        <v>113.28</v>
      </c>
      <c r="K617" s="6" t="str">
        <f t="shared" si="19"/>
        <v>1-POR VENCER</v>
      </c>
      <c r="L617" s="7" t="str">
        <f>_xlfn.CONCAT(TEXT(MONTH(DATA[[#This Row],[FECHA DE VENCIMIENTO]]),"00"),"-",TEXT(DATA[[#This Row],[FECHA DE VENCIMIENTO]],"MMM"))</f>
        <v>12-Dic</v>
      </c>
    </row>
    <row r="618" spans="1:12" hidden="1" x14ac:dyDescent="0.3">
      <c r="A618" s="3">
        <v>44875</v>
      </c>
      <c r="B618" s="3">
        <v>44905</v>
      </c>
      <c r="C618" s="4">
        <f t="shared" si="18"/>
        <v>5</v>
      </c>
      <c r="D618" s="5" t="s">
        <v>1176</v>
      </c>
      <c r="E618" s="5">
        <v>20440324224</v>
      </c>
      <c r="F618" s="5" t="s">
        <v>1175</v>
      </c>
      <c r="G618" s="5" t="s">
        <v>58</v>
      </c>
      <c r="H618" s="5" t="s">
        <v>7</v>
      </c>
      <c r="I618" s="31">
        <v>3079.8</v>
      </c>
      <c r="J618" s="31">
        <v>0</v>
      </c>
      <c r="K618" s="6" t="str">
        <f t="shared" si="19"/>
        <v>1-POR VENCER</v>
      </c>
      <c r="L618" s="7" t="str">
        <f>_xlfn.CONCAT(TEXT(MONTH(DATA[[#This Row],[FECHA DE VENCIMIENTO]]),"00"),"-",TEXT(DATA[[#This Row],[FECHA DE VENCIMIENTO]],"MMM"))</f>
        <v>12-Dic</v>
      </c>
    </row>
    <row r="619" spans="1:12" hidden="1" x14ac:dyDescent="0.3">
      <c r="A619" s="3">
        <v>44846</v>
      </c>
      <c r="B619" s="3">
        <v>44906</v>
      </c>
      <c r="C619" s="4">
        <f t="shared" si="18"/>
        <v>4</v>
      </c>
      <c r="D619" s="5" t="s">
        <v>711</v>
      </c>
      <c r="E619" s="5">
        <v>20132373958</v>
      </c>
      <c r="F619" s="5" t="s">
        <v>697</v>
      </c>
      <c r="G619" s="5" t="s">
        <v>58</v>
      </c>
      <c r="H619" s="5" t="s">
        <v>7</v>
      </c>
      <c r="I619" s="31">
        <v>7359.66</v>
      </c>
      <c r="J619" s="31">
        <v>0</v>
      </c>
      <c r="K619" s="6" t="str">
        <f t="shared" si="19"/>
        <v>1-POR VENCER</v>
      </c>
      <c r="L619" s="7" t="str">
        <f>_xlfn.CONCAT(TEXT(MONTH(DATA[[#This Row],[FECHA DE VENCIMIENTO]]),"00"),"-",TEXT(DATA[[#This Row],[FECHA DE VENCIMIENTO]],"MMM"))</f>
        <v>12-Dic</v>
      </c>
    </row>
    <row r="620" spans="1:12" ht="31.2" hidden="1" x14ac:dyDescent="0.3">
      <c r="A620" s="3">
        <v>44846</v>
      </c>
      <c r="B620" s="3">
        <v>44906</v>
      </c>
      <c r="C620" s="4">
        <f t="shared" si="18"/>
        <v>4</v>
      </c>
      <c r="D620" s="5" t="s">
        <v>790</v>
      </c>
      <c r="E620" s="5">
        <v>20450497950</v>
      </c>
      <c r="F620" s="5" t="s">
        <v>791</v>
      </c>
      <c r="G620" s="5" t="s">
        <v>46</v>
      </c>
      <c r="H620" s="5" t="s">
        <v>29</v>
      </c>
      <c r="I620" s="31">
        <v>0</v>
      </c>
      <c r="J620" s="31">
        <v>2689.81</v>
      </c>
      <c r="K620" s="6" t="str">
        <f t="shared" si="19"/>
        <v>1-POR VENCER</v>
      </c>
      <c r="L620" s="7" t="str">
        <f>_xlfn.CONCAT(TEXT(MONTH(DATA[[#This Row],[FECHA DE VENCIMIENTO]]),"00"),"-",TEXT(DATA[[#This Row],[FECHA DE VENCIMIENTO]],"MMM"))</f>
        <v>12-Dic</v>
      </c>
    </row>
    <row r="621" spans="1:12" hidden="1" x14ac:dyDescent="0.3">
      <c r="A621" s="3">
        <v>44876</v>
      </c>
      <c r="B621" s="3">
        <v>44906</v>
      </c>
      <c r="C621" s="4">
        <f t="shared" si="18"/>
        <v>4</v>
      </c>
      <c r="D621" s="5" t="s">
        <v>942</v>
      </c>
      <c r="E621" s="5">
        <v>20193112791</v>
      </c>
      <c r="F621" s="5" t="s">
        <v>941</v>
      </c>
      <c r="G621" s="5" t="s">
        <v>33</v>
      </c>
      <c r="H621" s="5" t="s">
        <v>7</v>
      </c>
      <c r="I621" s="31">
        <v>3079.8</v>
      </c>
      <c r="J621" s="31">
        <v>0</v>
      </c>
      <c r="K621" s="6" t="str">
        <f t="shared" si="19"/>
        <v>1-POR VENCER</v>
      </c>
      <c r="L621" s="7" t="str">
        <f>_xlfn.CONCAT(TEXT(MONTH(DATA[[#This Row],[FECHA DE VENCIMIENTO]]),"00"),"-",TEXT(DATA[[#This Row],[FECHA DE VENCIMIENTO]],"MMM"))</f>
        <v>12-Dic</v>
      </c>
    </row>
    <row r="622" spans="1:12" hidden="1" x14ac:dyDescent="0.3">
      <c r="A622" s="3">
        <v>44876</v>
      </c>
      <c r="B622" s="3">
        <v>44906</v>
      </c>
      <c r="C622" s="4">
        <f t="shared" si="18"/>
        <v>4</v>
      </c>
      <c r="D622" s="5" t="s">
        <v>944</v>
      </c>
      <c r="E622" s="5">
        <v>20193112791</v>
      </c>
      <c r="F622" s="5" t="s">
        <v>941</v>
      </c>
      <c r="G622" s="5" t="s">
        <v>33</v>
      </c>
      <c r="H622" s="5" t="s">
        <v>7</v>
      </c>
      <c r="I622" s="31">
        <v>753.78</v>
      </c>
      <c r="J622" s="31">
        <v>0</v>
      </c>
      <c r="K622" s="6" t="str">
        <f t="shared" si="19"/>
        <v>1-POR VENCER</v>
      </c>
      <c r="L622" s="7" t="str">
        <f>_xlfn.CONCAT(TEXT(MONTH(DATA[[#This Row],[FECHA DE VENCIMIENTO]]),"00"),"-",TEXT(DATA[[#This Row],[FECHA DE VENCIMIENTO]],"MMM"))</f>
        <v>12-Dic</v>
      </c>
    </row>
    <row r="623" spans="1:12" hidden="1" x14ac:dyDescent="0.3">
      <c r="A623" s="3">
        <v>44876</v>
      </c>
      <c r="B623" s="3">
        <v>44906</v>
      </c>
      <c r="C623" s="4">
        <f t="shared" si="18"/>
        <v>4</v>
      </c>
      <c r="D623" s="5" t="s">
        <v>956</v>
      </c>
      <c r="E623" s="5">
        <v>20534627310</v>
      </c>
      <c r="F623" s="5" t="s">
        <v>957</v>
      </c>
      <c r="G623" s="5" t="s">
        <v>13</v>
      </c>
      <c r="H623" s="5" t="s">
        <v>7</v>
      </c>
      <c r="I623" s="31">
        <v>2075.62</v>
      </c>
      <c r="J623" s="31">
        <v>0</v>
      </c>
      <c r="K623" s="6" t="str">
        <f t="shared" si="19"/>
        <v>1-POR VENCER</v>
      </c>
      <c r="L623" s="7" t="str">
        <f>_xlfn.CONCAT(TEXT(MONTH(DATA[[#This Row],[FECHA DE VENCIMIENTO]]),"00"),"-",TEXT(DATA[[#This Row],[FECHA DE VENCIMIENTO]],"MMM"))</f>
        <v>12-Dic</v>
      </c>
    </row>
    <row r="624" spans="1:12" hidden="1" x14ac:dyDescent="0.3">
      <c r="A624" s="3">
        <v>44846</v>
      </c>
      <c r="B624" s="3">
        <v>44906</v>
      </c>
      <c r="C624" s="4">
        <f t="shared" si="18"/>
        <v>4</v>
      </c>
      <c r="D624" s="5" t="s">
        <v>1282</v>
      </c>
      <c r="E624" s="5">
        <v>20609609711</v>
      </c>
      <c r="F624" s="5" t="s">
        <v>1272</v>
      </c>
      <c r="G624" s="5" t="s">
        <v>13</v>
      </c>
      <c r="H624" s="5" t="s">
        <v>7</v>
      </c>
      <c r="I624" s="31">
        <v>3079.8</v>
      </c>
      <c r="J624" s="31">
        <v>0</v>
      </c>
      <c r="K624" s="6" t="str">
        <f t="shared" si="19"/>
        <v>1-POR VENCER</v>
      </c>
      <c r="L624" s="7" t="str">
        <f>_xlfn.CONCAT(TEXT(MONTH(DATA[[#This Row],[FECHA DE VENCIMIENTO]]),"00"),"-",TEXT(DATA[[#This Row],[FECHA DE VENCIMIENTO]],"MMM"))</f>
        <v>12-Dic</v>
      </c>
    </row>
    <row r="625" spans="1:12" hidden="1" x14ac:dyDescent="0.3">
      <c r="A625" s="3">
        <v>44847</v>
      </c>
      <c r="B625" s="3">
        <v>44907</v>
      </c>
      <c r="C625" s="4">
        <f t="shared" si="18"/>
        <v>3</v>
      </c>
      <c r="D625" s="5" t="s">
        <v>522</v>
      </c>
      <c r="E625" s="5">
        <v>20320731314</v>
      </c>
      <c r="F625" s="5" t="s">
        <v>331</v>
      </c>
      <c r="G625" s="5" t="s">
        <v>16</v>
      </c>
      <c r="H625" s="5" t="s">
        <v>29</v>
      </c>
      <c r="I625" s="31">
        <v>0</v>
      </c>
      <c r="J625" s="31">
        <v>8477.1200000000008</v>
      </c>
      <c r="K625" s="6" t="str">
        <f t="shared" si="19"/>
        <v>1-POR VENCER</v>
      </c>
      <c r="L625" s="7" t="str">
        <f>_xlfn.CONCAT(TEXT(MONTH(DATA[[#This Row],[FECHA DE VENCIMIENTO]]),"00"),"-",TEXT(DATA[[#This Row],[FECHA DE VENCIMIENTO]],"MMM"))</f>
        <v>12-Dic</v>
      </c>
    </row>
    <row r="626" spans="1:12" hidden="1" x14ac:dyDescent="0.3">
      <c r="A626" s="3">
        <v>44907</v>
      </c>
      <c r="B626" s="3">
        <v>44907</v>
      </c>
      <c r="C626" s="4">
        <f t="shared" si="18"/>
        <v>3</v>
      </c>
      <c r="D626" s="5" t="s">
        <v>641</v>
      </c>
      <c r="E626" s="5">
        <v>20609553783</v>
      </c>
      <c r="F626" s="5" t="s">
        <v>640</v>
      </c>
      <c r="G626" s="5" t="s">
        <v>13</v>
      </c>
      <c r="H626" s="5" t="s">
        <v>29</v>
      </c>
      <c r="I626" s="31">
        <v>0</v>
      </c>
      <c r="J626" s="31">
        <v>952.85</v>
      </c>
      <c r="K626" s="6" t="str">
        <f t="shared" si="19"/>
        <v>1-POR VENCER</v>
      </c>
      <c r="L626" s="7" t="str">
        <f>_xlfn.CONCAT(TEXT(MONTH(DATA[[#This Row],[FECHA DE VENCIMIENTO]]),"00"),"-",TEXT(DATA[[#This Row],[FECHA DE VENCIMIENTO]],"MMM"))</f>
        <v>12-Dic</v>
      </c>
    </row>
    <row r="627" spans="1:12" hidden="1" x14ac:dyDescent="0.3">
      <c r="A627" s="3">
        <v>44907</v>
      </c>
      <c r="B627" s="3">
        <v>44907</v>
      </c>
      <c r="C627" s="4">
        <f t="shared" si="18"/>
        <v>3</v>
      </c>
      <c r="D627" s="5" t="s">
        <v>642</v>
      </c>
      <c r="E627" s="5">
        <v>20609553783</v>
      </c>
      <c r="F627" s="5" t="s">
        <v>640</v>
      </c>
      <c r="G627" s="5" t="s">
        <v>13</v>
      </c>
      <c r="H627" s="5" t="s">
        <v>7</v>
      </c>
      <c r="I627" s="31">
        <v>1935.2</v>
      </c>
      <c r="J627" s="31">
        <v>0</v>
      </c>
      <c r="K627" s="6" t="str">
        <f t="shared" si="19"/>
        <v>1-POR VENCER</v>
      </c>
      <c r="L627" s="7" t="str">
        <f>_xlfn.CONCAT(TEXT(MONTH(DATA[[#This Row],[FECHA DE VENCIMIENTO]]),"00"),"-",TEXT(DATA[[#This Row],[FECHA DE VENCIMIENTO]],"MMM"))</f>
        <v>12-Dic</v>
      </c>
    </row>
    <row r="628" spans="1:12" hidden="1" x14ac:dyDescent="0.3">
      <c r="A628" s="3">
        <v>44907</v>
      </c>
      <c r="B628" s="3">
        <v>44907</v>
      </c>
      <c r="C628" s="4">
        <f t="shared" si="18"/>
        <v>3</v>
      </c>
      <c r="D628" s="5" t="s">
        <v>650</v>
      </c>
      <c r="E628" s="5">
        <v>20605170375</v>
      </c>
      <c r="F628" s="5" t="s">
        <v>651</v>
      </c>
      <c r="G628" s="5" t="s">
        <v>33</v>
      </c>
      <c r="H628" s="5" t="s">
        <v>7</v>
      </c>
      <c r="I628" s="31">
        <v>5643.7</v>
      </c>
      <c r="J628" s="31">
        <v>0</v>
      </c>
      <c r="K628" s="6" t="str">
        <f t="shared" si="19"/>
        <v>1-POR VENCER</v>
      </c>
      <c r="L628" s="7" t="str">
        <f>_xlfn.CONCAT(TEXT(MONTH(DATA[[#This Row],[FECHA DE VENCIMIENTO]]),"00"),"-",TEXT(DATA[[#This Row],[FECHA DE VENCIMIENTO]],"MMM"))</f>
        <v>12-Dic</v>
      </c>
    </row>
    <row r="629" spans="1:12" hidden="1" x14ac:dyDescent="0.3">
      <c r="A629" s="3">
        <v>44847</v>
      </c>
      <c r="B629" s="3">
        <v>44907</v>
      </c>
      <c r="C629" s="4">
        <f t="shared" si="18"/>
        <v>3</v>
      </c>
      <c r="D629" s="5" t="s">
        <v>734</v>
      </c>
      <c r="E629" s="5">
        <v>20506421781</v>
      </c>
      <c r="F629" s="5" t="s">
        <v>735</v>
      </c>
      <c r="G629" s="5" t="s">
        <v>33</v>
      </c>
      <c r="H629" s="5" t="s">
        <v>29</v>
      </c>
      <c r="I629" s="31">
        <v>0</v>
      </c>
      <c r="J629" s="31">
        <v>144.18</v>
      </c>
      <c r="K629" s="6" t="str">
        <f t="shared" si="19"/>
        <v>1-POR VENCER</v>
      </c>
      <c r="L629" s="7" t="str">
        <f>_xlfn.CONCAT(TEXT(MONTH(DATA[[#This Row],[FECHA DE VENCIMIENTO]]),"00"),"-",TEXT(DATA[[#This Row],[FECHA DE VENCIMIENTO]],"MMM"))</f>
        <v>12-Dic</v>
      </c>
    </row>
    <row r="630" spans="1:12" ht="31.2" hidden="1" x14ac:dyDescent="0.3">
      <c r="A630" s="3">
        <v>44907</v>
      </c>
      <c r="B630" s="3">
        <v>44907</v>
      </c>
      <c r="C630" s="4">
        <f t="shared" si="18"/>
        <v>3</v>
      </c>
      <c r="D630" s="5" t="s">
        <v>768</v>
      </c>
      <c r="E630" s="5">
        <v>20607473235</v>
      </c>
      <c r="F630" s="5" t="s">
        <v>769</v>
      </c>
      <c r="G630" s="5" t="s">
        <v>33</v>
      </c>
      <c r="H630" s="5" t="s">
        <v>7</v>
      </c>
      <c r="I630" s="31">
        <v>1635.86</v>
      </c>
      <c r="J630" s="31">
        <v>0</v>
      </c>
      <c r="K630" s="6" t="str">
        <f t="shared" si="19"/>
        <v>1-POR VENCER</v>
      </c>
      <c r="L630" s="7" t="str">
        <f>_xlfn.CONCAT(TEXT(MONTH(DATA[[#This Row],[FECHA DE VENCIMIENTO]]),"00"),"-",TEXT(DATA[[#This Row],[FECHA DE VENCIMIENTO]],"MMM"))</f>
        <v>12-Dic</v>
      </c>
    </row>
    <row r="631" spans="1:12" hidden="1" x14ac:dyDescent="0.3">
      <c r="A631" s="3">
        <v>44907</v>
      </c>
      <c r="B631" s="3">
        <v>44907</v>
      </c>
      <c r="C631" s="4">
        <f t="shared" si="18"/>
        <v>3</v>
      </c>
      <c r="D631" s="5" t="s">
        <v>965</v>
      </c>
      <c r="E631" s="5">
        <v>20534627310</v>
      </c>
      <c r="F631" s="5" t="s">
        <v>957</v>
      </c>
      <c r="G631" s="5" t="s">
        <v>13</v>
      </c>
      <c r="H631" s="5" t="s">
        <v>7</v>
      </c>
      <c r="I631" s="31">
        <v>3375.98</v>
      </c>
      <c r="J631" s="31">
        <v>0</v>
      </c>
      <c r="K631" s="6" t="str">
        <f t="shared" si="19"/>
        <v>1-POR VENCER</v>
      </c>
      <c r="L631" s="7" t="str">
        <f>_xlfn.CONCAT(TEXT(MONTH(DATA[[#This Row],[FECHA DE VENCIMIENTO]]),"00"),"-",TEXT(DATA[[#This Row],[FECHA DE VENCIMIENTO]],"MMM"))</f>
        <v>12-Dic</v>
      </c>
    </row>
    <row r="632" spans="1:12" hidden="1" x14ac:dyDescent="0.3">
      <c r="A632" s="3">
        <v>44907</v>
      </c>
      <c r="B632" s="3">
        <v>44907</v>
      </c>
      <c r="C632" s="4">
        <f t="shared" si="18"/>
        <v>3</v>
      </c>
      <c r="D632" s="5" t="s">
        <v>1069</v>
      </c>
      <c r="E632" s="5">
        <v>46590017</v>
      </c>
      <c r="F632" s="5" t="s">
        <v>1070</v>
      </c>
      <c r="G632" s="5" t="s">
        <v>16</v>
      </c>
      <c r="H632" s="5" t="s">
        <v>29</v>
      </c>
      <c r="I632" s="31">
        <v>0</v>
      </c>
      <c r="J632" s="31">
        <v>560.5</v>
      </c>
      <c r="K632" s="6" t="str">
        <f t="shared" si="19"/>
        <v>1-POR VENCER</v>
      </c>
      <c r="L632" s="7" t="str">
        <f>_xlfn.CONCAT(TEXT(MONTH(DATA[[#This Row],[FECHA DE VENCIMIENTO]]),"00"),"-",TEXT(DATA[[#This Row],[FECHA DE VENCIMIENTO]],"MMM"))</f>
        <v>12-Dic</v>
      </c>
    </row>
    <row r="633" spans="1:12" hidden="1" x14ac:dyDescent="0.3">
      <c r="A633" s="3">
        <v>44907</v>
      </c>
      <c r="B633" s="3">
        <v>44907</v>
      </c>
      <c r="C633" s="4">
        <f t="shared" si="18"/>
        <v>3</v>
      </c>
      <c r="D633" s="5" t="s">
        <v>1071</v>
      </c>
      <c r="E633" s="5">
        <v>46590017</v>
      </c>
      <c r="F633" s="5" t="s">
        <v>1070</v>
      </c>
      <c r="G633" s="5" t="s">
        <v>16</v>
      </c>
      <c r="H633" s="5" t="s">
        <v>29</v>
      </c>
      <c r="I633" s="31">
        <v>0</v>
      </c>
      <c r="J633" s="31">
        <v>448.4</v>
      </c>
      <c r="K633" s="6" t="str">
        <f t="shared" si="19"/>
        <v>1-POR VENCER</v>
      </c>
      <c r="L633" s="7" t="str">
        <f>_xlfn.CONCAT(TEXT(MONTH(DATA[[#This Row],[FECHA DE VENCIMIENTO]]),"00"),"-",TEXT(DATA[[#This Row],[FECHA DE VENCIMIENTO]],"MMM"))</f>
        <v>12-Dic</v>
      </c>
    </row>
    <row r="634" spans="1:12" hidden="1" x14ac:dyDescent="0.3">
      <c r="A634" s="3">
        <v>44907</v>
      </c>
      <c r="B634" s="3">
        <v>44907</v>
      </c>
      <c r="C634" s="4">
        <f t="shared" si="18"/>
        <v>3</v>
      </c>
      <c r="D634" s="5" t="s">
        <v>1134</v>
      </c>
      <c r="E634" s="5">
        <v>20603450265</v>
      </c>
      <c r="F634" s="5" t="s">
        <v>1135</v>
      </c>
      <c r="G634" s="5" t="s">
        <v>33</v>
      </c>
      <c r="H634" s="5" t="s">
        <v>29</v>
      </c>
      <c r="I634" s="31">
        <v>0</v>
      </c>
      <c r="J634" s="31">
        <v>163.12</v>
      </c>
      <c r="K634" s="6" t="str">
        <f t="shared" si="19"/>
        <v>1-POR VENCER</v>
      </c>
      <c r="L634" s="7" t="str">
        <f>_xlfn.CONCAT(TEXT(MONTH(DATA[[#This Row],[FECHA DE VENCIMIENTO]]),"00"),"-",TEXT(DATA[[#This Row],[FECHA DE VENCIMIENTO]],"MMM"))</f>
        <v>12-Dic</v>
      </c>
    </row>
    <row r="635" spans="1:12" hidden="1" x14ac:dyDescent="0.3">
      <c r="A635" s="3">
        <v>44907</v>
      </c>
      <c r="B635" s="3">
        <v>44907</v>
      </c>
      <c r="C635" s="4">
        <f t="shared" si="18"/>
        <v>3</v>
      </c>
      <c r="D635" s="5" t="s">
        <v>1256</v>
      </c>
      <c r="E635" s="5">
        <v>8440548</v>
      </c>
      <c r="F635" s="5" t="s">
        <v>1257</v>
      </c>
      <c r="G635" s="5" t="s">
        <v>16</v>
      </c>
      <c r="H635" s="5" t="s">
        <v>29</v>
      </c>
      <c r="I635" s="31">
        <v>0</v>
      </c>
      <c r="J635" s="31">
        <v>76.7</v>
      </c>
      <c r="K635" s="6" t="str">
        <f t="shared" si="19"/>
        <v>1-POR VENCER</v>
      </c>
      <c r="L635" s="7" t="str">
        <f>_xlfn.CONCAT(TEXT(MONTH(DATA[[#This Row],[FECHA DE VENCIMIENTO]]),"00"),"-",TEXT(DATA[[#This Row],[FECHA DE VENCIMIENTO]],"MMM"))</f>
        <v>12-Dic</v>
      </c>
    </row>
    <row r="636" spans="1:12" ht="31.2" hidden="1" x14ac:dyDescent="0.3">
      <c r="A636" s="3">
        <v>44908</v>
      </c>
      <c r="B636" s="3">
        <v>44908</v>
      </c>
      <c r="C636" s="4">
        <f t="shared" si="18"/>
        <v>2</v>
      </c>
      <c r="D636" s="5" t="s">
        <v>535</v>
      </c>
      <c r="E636" s="5">
        <v>20541266209</v>
      </c>
      <c r="F636" s="5" t="s">
        <v>536</v>
      </c>
      <c r="G636" s="5" t="s">
        <v>46</v>
      </c>
      <c r="H636" s="5" t="s">
        <v>7</v>
      </c>
      <c r="I636" s="31">
        <v>6197.48</v>
      </c>
      <c r="J636" s="31">
        <v>0</v>
      </c>
      <c r="K636" s="6" t="str">
        <f t="shared" si="19"/>
        <v>1-POR VENCER</v>
      </c>
      <c r="L636" s="7" t="str">
        <f>_xlfn.CONCAT(TEXT(MONTH(DATA[[#This Row],[FECHA DE VENCIMIENTO]]),"00"),"-",TEXT(DATA[[#This Row],[FECHA DE VENCIMIENTO]],"MMM"))</f>
        <v>12-Dic</v>
      </c>
    </row>
    <row r="637" spans="1:12" hidden="1" x14ac:dyDescent="0.3">
      <c r="A637" s="3">
        <v>44908</v>
      </c>
      <c r="B637" s="3">
        <v>44908</v>
      </c>
      <c r="C637" s="4">
        <f t="shared" si="18"/>
        <v>2</v>
      </c>
      <c r="D637" s="5" t="s">
        <v>610</v>
      </c>
      <c r="E637" s="5">
        <v>20609209136</v>
      </c>
      <c r="F637" s="5" t="s">
        <v>611</v>
      </c>
      <c r="G637" s="5" t="s">
        <v>13</v>
      </c>
      <c r="H637" s="5" t="s">
        <v>7</v>
      </c>
      <c r="I637" s="31">
        <v>2684.5</v>
      </c>
      <c r="J637" s="31">
        <v>0</v>
      </c>
      <c r="K637" s="6" t="str">
        <f t="shared" si="19"/>
        <v>1-POR VENCER</v>
      </c>
      <c r="L637" s="7" t="str">
        <f>_xlfn.CONCAT(TEXT(MONTH(DATA[[#This Row],[FECHA DE VENCIMIENTO]]),"00"),"-",TEXT(DATA[[#This Row],[FECHA DE VENCIMIENTO]],"MMM"))</f>
        <v>12-Dic</v>
      </c>
    </row>
    <row r="638" spans="1:12" hidden="1" x14ac:dyDescent="0.3">
      <c r="A638" s="3">
        <v>44908</v>
      </c>
      <c r="B638" s="3">
        <v>44908</v>
      </c>
      <c r="C638" s="4">
        <f t="shared" si="18"/>
        <v>2</v>
      </c>
      <c r="D638" s="5" t="s">
        <v>842</v>
      </c>
      <c r="E638" s="5">
        <v>20479436470</v>
      </c>
      <c r="F638" s="5" t="s">
        <v>241</v>
      </c>
      <c r="G638" s="5" t="s">
        <v>58</v>
      </c>
      <c r="H638" s="5" t="s">
        <v>7</v>
      </c>
      <c r="I638" s="31">
        <v>272.98</v>
      </c>
      <c r="J638" s="31">
        <v>0</v>
      </c>
      <c r="K638" s="6" t="str">
        <f t="shared" si="19"/>
        <v>1-POR VENCER</v>
      </c>
      <c r="L638" s="7" t="str">
        <f>_xlfn.CONCAT(TEXT(MONTH(DATA[[#This Row],[FECHA DE VENCIMIENTO]]),"00"),"-",TEXT(DATA[[#This Row],[FECHA DE VENCIMIENTO]],"MMM"))</f>
        <v>12-Dic</v>
      </c>
    </row>
    <row r="639" spans="1:12" hidden="1" x14ac:dyDescent="0.3">
      <c r="A639" s="3">
        <v>44908</v>
      </c>
      <c r="B639" s="3">
        <v>44908</v>
      </c>
      <c r="C639" s="4">
        <f t="shared" si="18"/>
        <v>2</v>
      </c>
      <c r="D639" s="5" t="s">
        <v>870</v>
      </c>
      <c r="E639" s="5">
        <v>20534979003</v>
      </c>
      <c r="F639" s="5" t="s">
        <v>869</v>
      </c>
      <c r="G639" s="5" t="s">
        <v>13</v>
      </c>
      <c r="H639" s="5" t="s">
        <v>7</v>
      </c>
      <c r="I639" s="31">
        <v>10266</v>
      </c>
      <c r="J639" s="31">
        <v>0</v>
      </c>
      <c r="K639" s="6" t="str">
        <f t="shared" si="19"/>
        <v>1-POR VENCER</v>
      </c>
      <c r="L639" s="7" t="str">
        <f>_xlfn.CONCAT(TEXT(MONTH(DATA[[#This Row],[FECHA DE VENCIMIENTO]]),"00"),"-",TEXT(DATA[[#This Row],[FECHA DE VENCIMIENTO]],"MMM"))</f>
        <v>12-Dic</v>
      </c>
    </row>
    <row r="640" spans="1:12" hidden="1" x14ac:dyDescent="0.3">
      <c r="A640" s="3">
        <v>44908</v>
      </c>
      <c r="B640" s="3">
        <v>44908</v>
      </c>
      <c r="C640" s="4">
        <f t="shared" si="18"/>
        <v>2</v>
      </c>
      <c r="D640" s="5" t="s">
        <v>1117</v>
      </c>
      <c r="E640" s="5">
        <v>20452351227</v>
      </c>
      <c r="F640" s="5" t="s">
        <v>1116</v>
      </c>
      <c r="G640" s="5" t="s">
        <v>13</v>
      </c>
      <c r="H640" s="5" t="s">
        <v>29</v>
      </c>
      <c r="I640" s="31">
        <v>0</v>
      </c>
      <c r="J640" s="31">
        <v>291.91000000000003</v>
      </c>
      <c r="K640" s="6" t="str">
        <f t="shared" si="19"/>
        <v>1-POR VENCER</v>
      </c>
      <c r="L640" s="7" t="str">
        <f>_xlfn.CONCAT(TEXT(MONTH(DATA[[#This Row],[FECHA DE VENCIMIENTO]]),"00"),"-",TEXT(DATA[[#This Row],[FECHA DE VENCIMIENTO]],"MMM"))</f>
        <v>12-Dic</v>
      </c>
    </row>
    <row r="641" spans="1:12" hidden="1" x14ac:dyDescent="0.3">
      <c r="A641" s="3">
        <v>44909</v>
      </c>
      <c r="B641" s="3">
        <v>44909</v>
      </c>
      <c r="C641" s="4">
        <f t="shared" si="18"/>
        <v>1</v>
      </c>
      <c r="D641" s="5" t="s">
        <v>560</v>
      </c>
      <c r="E641" s="5">
        <v>20482097007</v>
      </c>
      <c r="F641" s="5" t="s">
        <v>561</v>
      </c>
      <c r="G641" s="5" t="s">
        <v>58</v>
      </c>
      <c r="H641" s="5" t="s">
        <v>7</v>
      </c>
      <c r="I641" s="31">
        <v>26107.5</v>
      </c>
      <c r="J641" s="31">
        <v>0</v>
      </c>
      <c r="K641" s="6" t="str">
        <f t="shared" si="19"/>
        <v>1-POR VENCER</v>
      </c>
      <c r="L641" s="7" t="str">
        <f>_xlfn.CONCAT(TEXT(MONTH(DATA[[#This Row],[FECHA DE VENCIMIENTO]]),"00"),"-",TEXT(DATA[[#This Row],[FECHA DE VENCIMIENTO]],"MMM"))</f>
        <v>12-Dic</v>
      </c>
    </row>
    <row r="642" spans="1:12" ht="31.2" hidden="1" x14ac:dyDescent="0.3">
      <c r="A642" s="3">
        <v>44909</v>
      </c>
      <c r="B642" s="3">
        <v>44909</v>
      </c>
      <c r="C642" s="4">
        <f t="shared" si="18"/>
        <v>1</v>
      </c>
      <c r="D642" s="5" t="s">
        <v>562</v>
      </c>
      <c r="E642" s="5">
        <v>20531557311</v>
      </c>
      <c r="F642" s="5" t="s">
        <v>563</v>
      </c>
      <c r="G642" s="5" t="s">
        <v>46</v>
      </c>
      <c r="H642" s="5" t="s">
        <v>7</v>
      </c>
      <c r="I642" s="31">
        <v>17590.41</v>
      </c>
      <c r="J642" s="31">
        <v>0</v>
      </c>
      <c r="K642" s="6" t="str">
        <f t="shared" si="19"/>
        <v>1-POR VENCER</v>
      </c>
      <c r="L642" s="7" t="str">
        <f>_xlfn.CONCAT(TEXT(MONTH(DATA[[#This Row],[FECHA DE VENCIMIENTO]]),"00"),"-",TEXT(DATA[[#This Row],[FECHA DE VENCIMIENTO]],"MMM"))</f>
        <v>12-Dic</v>
      </c>
    </row>
    <row r="643" spans="1:12" hidden="1" x14ac:dyDescent="0.3">
      <c r="A643" s="3">
        <v>44909</v>
      </c>
      <c r="B643" s="3">
        <v>44909</v>
      </c>
      <c r="C643" s="4">
        <f t="shared" si="18"/>
        <v>1</v>
      </c>
      <c r="D643" s="5" t="s">
        <v>636</v>
      </c>
      <c r="E643" s="5">
        <v>20609301121</v>
      </c>
      <c r="F643" s="5" t="s">
        <v>631</v>
      </c>
      <c r="G643" s="5" t="s">
        <v>16</v>
      </c>
      <c r="H643" s="5" t="s">
        <v>7</v>
      </c>
      <c r="I643" s="31">
        <v>14868</v>
      </c>
      <c r="J643" s="31">
        <v>0</v>
      </c>
      <c r="K643" s="6" t="str">
        <f t="shared" si="19"/>
        <v>1-POR VENCER</v>
      </c>
      <c r="L643" s="7" t="str">
        <f>_xlfn.CONCAT(TEXT(MONTH(DATA[[#This Row],[FECHA DE VENCIMIENTO]]),"00"),"-",TEXT(DATA[[#This Row],[FECHA DE VENCIMIENTO]],"MMM"))</f>
        <v>12-Dic</v>
      </c>
    </row>
    <row r="644" spans="1:12" hidden="1" x14ac:dyDescent="0.3">
      <c r="A644" s="3">
        <v>44879</v>
      </c>
      <c r="B644" s="3">
        <v>44909</v>
      </c>
      <c r="C644" s="4">
        <f t="shared" ref="C644:C707" si="20">$E$2-B644</f>
        <v>1</v>
      </c>
      <c r="D644" s="5" t="s">
        <v>661</v>
      </c>
      <c r="E644" s="5">
        <v>20132100552</v>
      </c>
      <c r="F644" s="5" t="s">
        <v>660</v>
      </c>
      <c r="G644" s="5" t="s">
        <v>58</v>
      </c>
      <c r="H644" s="5" t="s">
        <v>29</v>
      </c>
      <c r="I644" s="31">
        <v>0</v>
      </c>
      <c r="J644" s="31">
        <v>191.75</v>
      </c>
      <c r="K644" s="6" t="str">
        <f t="shared" ref="K644:K707" si="21">IF(C644&gt;180,"180 &lt;= 360 DIAS",IF(C644&gt;90,"90 &lt;= 180 DIAS",IF(C644&gt;60,"60 &lt;= 90 DIAS",IF(C644&gt;30,"30 &lt;= 60 DIAS",IF(C644&gt;15,"15 &lt;= 30 DIAS","1-POR VENCER")))))</f>
        <v>1-POR VENCER</v>
      </c>
      <c r="L644" s="7" t="str">
        <f>_xlfn.CONCAT(TEXT(MONTH(DATA[[#This Row],[FECHA DE VENCIMIENTO]]),"00"),"-",TEXT(DATA[[#This Row],[FECHA DE VENCIMIENTO]],"MMM"))</f>
        <v>12-Dic</v>
      </c>
    </row>
    <row r="645" spans="1:12" hidden="1" x14ac:dyDescent="0.3">
      <c r="A645" s="3">
        <v>44909</v>
      </c>
      <c r="B645" s="3">
        <v>44909</v>
      </c>
      <c r="C645" s="4">
        <f t="shared" si="20"/>
        <v>1</v>
      </c>
      <c r="D645" s="5" t="s">
        <v>723</v>
      </c>
      <c r="E645" s="5">
        <v>20392847155</v>
      </c>
      <c r="F645" s="5" t="s">
        <v>53</v>
      </c>
      <c r="G645" s="5" t="s">
        <v>16</v>
      </c>
      <c r="H645" s="5" t="s">
        <v>29</v>
      </c>
      <c r="I645" s="31">
        <v>0</v>
      </c>
      <c r="J645" s="31">
        <v>682.34</v>
      </c>
      <c r="K645" s="6" t="str">
        <f t="shared" si="21"/>
        <v>1-POR VENCER</v>
      </c>
      <c r="L645" s="7" t="str">
        <f>_xlfn.CONCAT(TEXT(MONTH(DATA[[#This Row],[FECHA DE VENCIMIENTO]]),"00"),"-",TEXT(DATA[[#This Row],[FECHA DE VENCIMIENTO]],"MMM"))</f>
        <v>12-Dic</v>
      </c>
    </row>
    <row r="646" spans="1:12" hidden="1" x14ac:dyDescent="0.3">
      <c r="A646" s="3">
        <v>44909</v>
      </c>
      <c r="B646" s="3">
        <v>44909</v>
      </c>
      <c r="C646" s="4">
        <f t="shared" si="20"/>
        <v>1</v>
      </c>
      <c r="D646" s="5" t="s">
        <v>728</v>
      </c>
      <c r="E646" s="5">
        <v>20502212533</v>
      </c>
      <c r="F646" s="5" t="s">
        <v>729</v>
      </c>
      <c r="G646" s="5" t="s">
        <v>16</v>
      </c>
      <c r="H646" s="5" t="s">
        <v>7</v>
      </c>
      <c r="I646" s="31">
        <v>572.03</v>
      </c>
      <c r="J646" s="31">
        <v>0</v>
      </c>
      <c r="K646" s="6" t="str">
        <f t="shared" si="21"/>
        <v>1-POR VENCER</v>
      </c>
      <c r="L646" s="7" t="str">
        <f>_xlfn.CONCAT(TEXT(MONTH(DATA[[#This Row],[FECHA DE VENCIMIENTO]]),"00"),"-",TEXT(DATA[[#This Row],[FECHA DE VENCIMIENTO]],"MMM"))</f>
        <v>12-Dic</v>
      </c>
    </row>
    <row r="647" spans="1:12" hidden="1" x14ac:dyDescent="0.3">
      <c r="A647" s="3">
        <v>44902</v>
      </c>
      <c r="B647" s="3">
        <v>44909</v>
      </c>
      <c r="C647" s="4">
        <f t="shared" si="20"/>
        <v>1</v>
      </c>
      <c r="D647" s="5" t="s">
        <v>859</v>
      </c>
      <c r="E647" s="5">
        <v>20534406496</v>
      </c>
      <c r="F647" s="5" t="s">
        <v>359</v>
      </c>
      <c r="G647" s="5" t="s">
        <v>13</v>
      </c>
      <c r="H647" s="5" t="s">
        <v>7</v>
      </c>
      <c r="I647" s="31">
        <v>6962</v>
      </c>
      <c r="J647" s="31">
        <v>0</v>
      </c>
      <c r="K647" s="6" t="str">
        <f t="shared" si="21"/>
        <v>1-POR VENCER</v>
      </c>
      <c r="L647" s="7" t="str">
        <f>_xlfn.CONCAT(TEXT(MONTH(DATA[[#This Row],[FECHA DE VENCIMIENTO]]),"00"),"-",TEXT(DATA[[#This Row],[FECHA DE VENCIMIENTO]],"MMM"))</f>
        <v>12-Dic</v>
      </c>
    </row>
    <row r="648" spans="1:12" hidden="1" x14ac:dyDescent="0.3">
      <c r="A648" s="3">
        <v>44909</v>
      </c>
      <c r="B648" s="3">
        <v>44909</v>
      </c>
      <c r="C648" s="4">
        <f t="shared" si="20"/>
        <v>1</v>
      </c>
      <c r="D648" s="5" t="s">
        <v>871</v>
      </c>
      <c r="E648" s="5">
        <v>20534979003</v>
      </c>
      <c r="F648" s="5" t="s">
        <v>869</v>
      </c>
      <c r="G648" s="5" t="s">
        <v>13</v>
      </c>
      <c r="H648" s="5" t="s">
        <v>7</v>
      </c>
      <c r="I648" s="31">
        <v>2053.1999999999998</v>
      </c>
      <c r="J648" s="31">
        <v>0</v>
      </c>
      <c r="K648" s="6" t="str">
        <f t="shared" si="21"/>
        <v>1-POR VENCER</v>
      </c>
      <c r="L648" s="7" t="str">
        <f>_xlfn.CONCAT(TEXT(MONTH(DATA[[#This Row],[FECHA DE VENCIMIENTO]]),"00"),"-",TEXT(DATA[[#This Row],[FECHA DE VENCIMIENTO]],"MMM"))</f>
        <v>12-Dic</v>
      </c>
    </row>
    <row r="649" spans="1:12" hidden="1" x14ac:dyDescent="0.3">
      <c r="A649" s="3">
        <v>44909</v>
      </c>
      <c r="B649" s="3">
        <v>44909</v>
      </c>
      <c r="C649" s="4">
        <f t="shared" si="20"/>
        <v>1</v>
      </c>
      <c r="D649" s="5" t="s">
        <v>900</v>
      </c>
      <c r="E649" s="5">
        <v>20605405968</v>
      </c>
      <c r="F649" s="5" t="s">
        <v>901</v>
      </c>
      <c r="G649" s="5" t="s">
        <v>13</v>
      </c>
      <c r="H649" s="5" t="s">
        <v>7</v>
      </c>
      <c r="I649" s="31">
        <v>1342.25</v>
      </c>
      <c r="J649" s="31">
        <v>0</v>
      </c>
      <c r="K649" s="6" t="str">
        <f t="shared" si="21"/>
        <v>1-POR VENCER</v>
      </c>
      <c r="L649" s="7" t="str">
        <f>_xlfn.CONCAT(TEXT(MONTH(DATA[[#This Row],[FECHA DE VENCIMIENTO]]),"00"),"-",TEXT(DATA[[#This Row],[FECHA DE VENCIMIENTO]],"MMM"))</f>
        <v>12-Dic</v>
      </c>
    </row>
    <row r="650" spans="1:12" hidden="1" x14ac:dyDescent="0.3">
      <c r="A650" s="3">
        <v>44909</v>
      </c>
      <c r="B650" s="3">
        <v>44909</v>
      </c>
      <c r="C650" s="4">
        <f t="shared" si="20"/>
        <v>1</v>
      </c>
      <c r="D650" s="5" t="s">
        <v>902</v>
      </c>
      <c r="E650" s="5">
        <v>20605405968</v>
      </c>
      <c r="F650" s="5" t="s">
        <v>901</v>
      </c>
      <c r="G650" s="5" t="s">
        <v>13</v>
      </c>
      <c r="H650" s="5" t="s">
        <v>29</v>
      </c>
      <c r="I650" s="31">
        <v>0</v>
      </c>
      <c r="J650" s="31">
        <v>107.38</v>
      </c>
      <c r="K650" s="6" t="str">
        <f t="shared" si="21"/>
        <v>1-POR VENCER</v>
      </c>
      <c r="L650" s="7" t="str">
        <f>_xlfn.CONCAT(TEXT(MONTH(DATA[[#This Row],[FECHA DE VENCIMIENTO]]),"00"),"-",TEXT(DATA[[#This Row],[FECHA DE VENCIMIENTO]],"MMM"))</f>
        <v>12-Dic</v>
      </c>
    </row>
    <row r="651" spans="1:12" hidden="1" x14ac:dyDescent="0.3">
      <c r="A651" s="3">
        <v>44902</v>
      </c>
      <c r="B651" s="3">
        <v>44909</v>
      </c>
      <c r="C651" s="4">
        <f t="shared" si="20"/>
        <v>1</v>
      </c>
      <c r="D651" s="5" t="s">
        <v>985</v>
      </c>
      <c r="E651" s="5">
        <v>20606113758</v>
      </c>
      <c r="F651" s="5" t="s">
        <v>174</v>
      </c>
      <c r="G651" s="5" t="s">
        <v>13</v>
      </c>
      <c r="H651" s="5" t="s">
        <v>7</v>
      </c>
      <c r="I651" s="31">
        <v>3610.8</v>
      </c>
      <c r="J651" s="31">
        <v>0</v>
      </c>
      <c r="K651" s="6" t="str">
        <f t="shared" si="21"/>
        <v>1-POR VENCER</v>
      </c>
      <c r="L651" s="7" t="str">
        <f>_xlfn.CONCAT(TEXT(MONTH(DATA[[#This Row],[FECHA DE VENCIMIENTO]]),"00"),"-",TEXT(DATA[[#This Row],[FECHA DE VENCIMIENTO]],"MMM"))</f>
        <v>12-Dic</v>
      </c>
    </row>
    <row r="652" spans="1:12" hidden="1" x14ac:dyDescent="0.3">
      <c r="A652" s="3">
        <v>44879</v>
      </c>
      <c r="B652" s="3">
        <v>44909</v>
      </c>
      <c r="C652" s="4">
        <f t="shared" si="20"/>
        <v>1</v>
      </c>
      <c r="D652" s="5" t="s">
        <v>1010</v>
      </c>
      <c r="E652" s="5">
        <v>20455924724</v>
      </c>
      <c r="F652" s="5" t="s">
        <v>1011</v>
      </c>
      <c r="G652" s="5" t="s">
        <v>33</v>
      </c>
      <c r="H652" s="5" t="s">
        <v>29</v>
      </c>
      <c r="I652" s="31">
        <v>0</v>
      </c>
      <c r="J652" s="31">
        <v>212.4</v>
      </c>
      <c r="K652" s="6" t="str">
        <f t="shared" si="21"/>
        <v>1-POR VENCER</v>
      </c>
      <c r="L652" s="7" t="str">
        <f>_xlfn.CONCAT(TEXT(MONTH(DATA[[#This Row],[FECHA DE VENCIMIENTO]]),"00"),"-",TEXT(DATA[[#This Row],[FECHA DE VENCIMIENTO]],"MMM"))</f>
        <v>12-Dic</v>
      </c>
    </row>
    <row r="653" spans="1:12" hidden="1" x14ac:dyDescent="0.3">
      <c r="A653" s="3">
        <v>44909</v>
      </c>
      <c r="B653" s="3">
        <v>44909</v>
      </c>
      <c r="C653" s="4">
        <f t="shared" si="20"/>
        <v>1</v>
      </c>
      <c r="D653" s="5" t="s">
        <v>1015</v>
      </c>
      <c r="E653" s="5">
        <v>40745693</v>
      </c>
      <c r="F653" s="5" t="s">
        <v>1016</v>
      </c>
      <c r="G653" s="5" t="s">
        <v>13</v>
      </c>
      <c r="H653" s="5" t="s">
        <v>7</v>
      </c>
      <c r="I653" s="31">
        <v>3438.04</v>
      </c>
      <c r="J653" s="31">
        <v>0</v>
      </c>
      <c r="K653" s="6" t="str">
        <f t="shared" si="21"/>
        <v>1-POR VENCER</v>
      </c>
      <c r="L653" s="7" t="str">
        <f>_xlfn.CONCAT(TEXT(MONTH(DATA[[#This Row],[FECHA DE VENCIMIENTO]]),"00"),"-",TEXT(DATA[[#This Row],[FECHA DE VENCIMIENTO]],"MMM"))</f>
        <v>12-Dic</v>
      </c>
    </row>
    <row r="654" spans="1:12" hidden="1" x14ac:dyDescent="0.3">
      <c r="A654" s="3">
        <v>44879</v>
      </c>
      <c r="B654" s="3">
        <v>44909</v>
      </c>
      <c r="C654" s="4">
        <f t="shared" si="20"/>
        <v>1</v>
      </c>
      <c r="D654" s="5" t="s">
        <v>1168</v>
      </c>
      <c r="E654" s="5">
        <v>20516083647</v>
      </c>
      <c r="F654" s="5" t="s">
        <v>360</v>
      </c>
      <c r="G654" s="5" t="s">
        <v>16</v>
      </c>
      <c r="H654" s="5" t="s">
        <v>29</v>
      </c>
      <c r="I654" s="31">
        <v>0</v>
      </c>
      <c r="J654" s="31">
        <v>1038.4000000000001</v>
      </c>
      <c r="K654" s="6" t="str">
        <f t="shared" si="21"/>
        <v>1-POR VENCER</v>
      </c>
      <c r="L654" s="7" t="str">
        <f>_xlfn.CONCAT(TEXT(MONTH(DATA[[#This Row],[FECHA DE VENCIMIENTO]]),"00"),"-",TEXT(DATA[[#This Row],[FECHA DE VENCIMIENTO]],"MMM"))</f>
        <v>12-Dic</v>
      </c>
    </row>
    <row r="655" spans="1:12" ht="31.2" hidden="1" x14ac:dyDescent="0.3">
      <c r="A655" s="3">
        <v>44879</v>
      </c>
      <c r="B655" s="3">
        <v>44909</v>
      </c>
      <c r="C655" s="4">
        <f t="shared" si="20"/>
        <v>1</v>
      </c>
      <c r="D655" s="5" t="s">
        <v>1214</v>
      </c>
      <c r="E655" s="5">
        <v>10065815856</v>
      </c>
      <c r="F655" s="5" t="s">
        <v>1215</v>
      </c>
      <c r="G655" s="5" t="s">
        <v>46</v>
      </c>
      <c r="H655" s="5" t="s">
        <v>7</v>
      </c>
      <c r="I655" s="31">
        <v>1502.94</v>
      </c>
      <c r="J655" s="31">
        <v>0</v>
      </c>
      <c r="K655" s="6" t="str">
        <f t="shared" si="21"/>
        <v>1-POR VENCER</v>
      </c>
      <c r="L655" s="7" t="str">
        <f>_xlfn.CONCAT(TEXT(MONTH(DATA[[#This Row],[FECHA DE VENCIMIENTO]]),"00"),"-",TEXT(DATA[[#This Row],[FECHA DE VENCIMIENTO]],"MMM"))</f>
        <v>12-Dic</v>
      </c>
    </row>
    <row r="656" spans="1:12" hidden="1" x14ac:dyDescent="0.3">
      <c r="A656" s="3">
        <v>44880</v>
      </c>
      <c r="B656" s="3">
        <v>44910</v>
      </c>
      <c r="C656" s="4">
        <f t="shared" si="20"/>
        <v>0</v>
      </c>
      <c r="D656" s="5" t="s">
        <v>506</v>
      </c>
      <c r="E656" s="5">
        <v>20320731314</v>
      </c>
      <c r="F656" s="5" t="s">
        <v>331</v>
      </c>
      <c r="G656" s="5" t="s">
        <v>16</v>
      </c>
      <c r="H656" s="5" t="s">
        <v>7</v>
      </c>
      <c r="I656" s="31">
        <v>35400</v>
      </c>
      <c r="J656" s="31">
        <v>0</v>
      </c>
      <c r="K656" s="6" t="str">
        <f t="shared" si="21"/>
        <v>1-POR VENCER</v>
      </c>
      <c r="L656" s="7" t="str">
        <f>_xlfn.CONCAT(TEXT(MONTH(DATA[[#This Row],[FECHA DE VENCIMIENTO]]),"00"),"-",TEXT(DATA[[#This Row],[FECHA DE VENCIMIENTO]],"MMM"))</f>
        <v>12-Dic</v>
      </c>
    </row>
    <row r="657" spans="1:12" hidden="1" x14ac:dyDescent="0.3">
      <c r="A657" s="3">
        <v>44880</v>
      </c>
      <c r="B657" s="3">
        <v>44910</v>
      </c>
      <c r="C657" s="4">
        <f t="shared" si="20"/>
        <v>0</v>
      </c>
      <c r="D657" s="5" t="s">
        <v>533</v>
      </c>
      <c r="E657" s="5">
        <v>20519666601</v>
      </c>
      <c r="F657" s="5" t="s">
        <v>534</v>
      </c>
      <c r="G657" s="5" t="s">
        <v>33</v>
      </c>
      <c r="H657" s="5" t="s">
        <v>7</v>
      </c>
      <c r="I657" s="31">
        <v>777.1</v>
      </c>
      <c r="J657" s="31">
        <v>0</v>
      </c>
      <c r="K657" s="6" t="str">
        <f t="shared" si="21"/>
        <v>1-POR VENCER</v>
      </c>
      <c r="L657" s="7" t="str">
        <f>_xlfn.CONCAT(TEXT(MONTH(DATA[[#This Row],[FECHA DE VENCIMIENTO]]),"00"),"-",TEXT(DATA[[#This Row],[FECHA DE VENCIMIENTO]],"MMM"))</f>
        <v>12-Dic</v>
      </c>
    </row>
    <row r="658" spans="1:12" hidden="1" x14ac:dyDescent="0.3">
      <c r="A658" s="3">
        <v>44880</v>
      </c>
      <c r="B658" s="3">
        <v>44910</v>
      </c>
      <c r="C658" s="4">
        <f t="shared" si="20"/>
        <v>0</v>
      </c>
      <c r="D658" s="5" t="s">
        <v>581</v>
      </c>
      <c r="E658" s="5">
        <v>20602565786</v>
      </c>
      <c r="F658" s="5" t="s">
        <v>580</v>
      </c>
      <c r="G658" s="5" t="s">
        <v>16</v>
      </c>
      <c r="H658" s="5" t="s">
        <v>7</v>
      </c>
      <c r="I658" s="31">
        <v>1298</v>
      </c>
      <c r="J658" s="31">
        <v>0</v>
      </c>
      <c r="K658" s="6" t="str">
        <f t="shared" si="21"/>
        <v>1-POR VENCER</v>
      </c>
      <c r="L658" s="7" t="str">
        <f>_xlfn.CONCAT(TEXT(MONTH(DATA[[#This Row],[FECHA DE VENCIMIENTO]]),"00"),"-",TEXT(DATA[[#This Row],[FECHA DE VENCIMIENTO]],"MMM"))</f>
        <v>12-Dic</v>
      </c>
    </row>
    <row r="659" spans="1:12" hidden="1" x14ac:dyDescent="0.3">
      <c r="A659" s="3">
        <v>44880</v>
      </c>
      <c r="B659" s="3">
        <v>44910</v>
      </c>
      <c r="C659" s="4">
        <f t="shared" si="20"/>
        <v>0</v>
      </c>
      <c r="D659" s="5" t="s">
        <v>582</v>
      </c>
      <c r="E659" s="5">
        <v>20602565786</v>
      </c>
      <c r="F659" s="5" t="s">
        <v>580</v>
      </c>
      <c r="G659" s="5" t="s">
        <v>16</v>
      </c>
      <c r="H659" s="5" t="s">
        <v>7</v>
      </c>
      <c r="I659" s="31">
        <v>1298</v>
      </c>
      <c r="J659" s="31">
        <v>0</v>
      </c>
      <c r="K659" s="6" t="str">
        <f t="shared" si="21"/>
        <v>1-POR VENCER</v>
      </c>
      <c r="L659" s="7" t="str">
        <f>_xlfn.CONCAT(TEXT(MONTH(DATA[[#This Row],[FECHA DE VENCIMIENTO]]),"00"),"-",TEXT(DATA[[#This Row],[FECHA DE VENCIMIENTO]],"MMM"))</f>
        <v>12-Dic</v>
      </c>
    </row>
    <row r="660" spans="1:12" hidden="1" x14ac:dyDescent="0.3">
      <c r="A660" s="3">
        <v>44880</v>
      </c>
      <c r="B660" s="3">
        <v>44910</v>
      </c>
      <c r="C660" s="4">
        <f t="shared" si="20"/>
        <v>0</v>
      </c>
      <c r="D660" s="5" t="s">
        <v>674</v>
      </c>
      <c r="E660" s="5">
        <v>20601908701</v>
      </c>
      <c r="F660" s="5" t="s">
        <v>672</v>
      </c>
      <c r="G660" s="5" t="s">
        <v>13</v>
      </c>
      <c r="H660" s="5" t="s">
        <v>29</v>
      </c>
      <c r="I660" s="31">
        <v>0</v>
      </c>
      <c r="J660" s="31">
        <v>1121</v>
      </c>
      <c r="K660" s="6" t="str">
        <f t="shared" si="21"/>
        <v>1-POR VENCER</v>
      </c>
      <c r="L660" s="7" t="str">
        <f>_xlfn.CONCAT(TEXT(MONTH(DATA[[#This Row],[FECHA DE VENCIMIENTO]]),"00"),"-",TEXT(DATA[[#This Row],[FECHA DE VENCIMIENTO]],"MMM"))</f>
        <v>12-Dic</v>
      </c>
    </row>
    <row r="661" spans="1:12" hidden="1" x14ac:dyDescent="0.3">
      <c r="A661" s="3">
        <v>44880</v>
      </c>
      <c r="B661" s="3">
        <v>44910</v>
      </c>
      <c r="C661" s="4">
        <f t="shared" si="20"/>
        <v>0</v>
      </c>
      <c r="D661" s="5" t="s">
        <v>675</v>
      </c>
      <c r="E661" s="5">
        <v>20602148948</v>
      </c>
      <c r="F661" s="5" t="s">
        <v>676</v>
      </c>
      <c r="G661" s="5" t="s">
        <v>13</v>
      </c>
      <c r="H661" s="5" t="s">
        <v>7</v>
      </c>
      <c r="I661" s="31">
        <v>3091.6</v>
      </c>
      <c r="J661" s="31">
        <v>0</v>
      </c>
      <c r="K661" s="6" t="str">
        <f t="shared" si="21"/>
        <v>1-POR VENCER</v>
      </c>
      <c r="L661" s="7" t="str">
        <f>_xlfn.CONCAT(TEXT(MONTH(DATA[[#This Row],[FECHA DE VENCIMIENTO]]),"00"),"-",TEXT(DATA[[#This Row],[FECHA DE VENCIMIENTO]],"MMM"))</f>
        <v>12-Dic</v>
      </c>
    </row>
    <row r="662" spans="1:12" ht="31.2" hidden="1" x14ac:dyDescent="0.3">
      <c r="A662" s="3">
        <v>44880</v>
      </c>
      <c r="B662" s="3">
        <v>44910</v>
      </c>
      <c r="C662" s="4">
        <f t="shared" si="20"/>
        <v>0</v>
      </c>
      <c r="D662" s="5" t="s">
        <v>691</v>
      </c>
      <c r="E662" s="5">
        <v>20546118461</v>
      </c>
      <c r="F662" s="5" t="s">
        <v>692</v>
      </c>
      <c r="G662" s="5" t="s">
        <v>46</v>
      </c>
      <c r="H662" s="5" t="s">
        <v>7</v>
      </c>
      <c r="I662" s="31">
        <v>1652</v>
      </c>
      <c r="J662" s="31">
        <v>0</v>
      </c>
      <c r="K662" s="6" t="str">
        <f t="shared" si="21"/>
        <v>1-POR VENCER</v>
      </c>
      <c r="L662" s="7" t="str">
        <f>_xlfn.CONCAT(TEXT(MONTH(DATA[[#This Row],[FECHA DE VENCIMIENTO]]),"00"),"-",TEXT(DATA[[#This Row],[FECHA DE VENCIMIENTO]],"MMM"))</f>
        <v>12-Dic</v>
      </c>
    </row>
    <row r="663" spans="1:12" ht="31.2" hidden="1" x14ac:dyDescent="0.3">
      <c r="A663" s="3">
        <v>44880</v>
      </c>
      <c r="B663" s="3">
        <v>44910</v>
      </c>
      <c r="C663" s="4">
        <f t="shared" si="20"/>
        <v>0</v>
      </c>
      <c r="D663" s="5" t="s">
        <v>714</v>
      </c>
      <c r="E663" s="5">
        <v>20118383088</v>
      </c>
      <c r="F663" s="5" t="s">
        <v>715</v>
      </c>
      <c r="G663" s="5" t="s">
        <v>46</v>
      </c>
      <c r="H663" s="5" t="s">
        <v>29</v>
      </c>
      <c r="I663" s="31">
        <v>0</v>
      </c>
      <c r="J663" s="31">
        <v>545.75</v>
      </c>
      <c r="K663" s="6" t="str">
        <f t="shared" si="21"/>
        <v>1-POR VENCER</v>
      </c>
      <c r="L663" s="7" t="str">
        <f>_xlfn.CONCAT(TEXT(MONTH(DATA[[#This Row],[FECHA DE VENCIMIENTO]]),"00"),"-",TEXT(DATA[[#This Row],[FECHA DE VENCIMIENTO]],"MMM"))</f>
        <v>12-Dic</v>
      </c>
    </row>
    <row r="664" spans="1:12" hidden="1" x14ac:dyDescent="0.3">
      <c r="A664" s="3">
        <v>44880</v>
      </c>
      <c r="B664" s="3">
        <v>44910</v>
      </c>
      <c r="C664" s="4">
        <f t="shared" si="20"/>
        <v>0</v>
      </c>
      <c r="D664" s="5" t="s">
        <v>815</v>
      </c>
      <c r="E664" s="5">
        <v>20498655468</v>
      </c>
      <c r="F664" s="5" t="s">
        <v>816</v>
      </c>
      <c r="G664" s="5" t="s">
        <v>33</v>
      </c>
      <c r="H664" s="5" t="s">
        <v>7</v>
      </c>
      <c r="I664" s="31">
        <v>152.72</v>
      </c>
      <c r="J664" s="31">
        <v>0</v>
      </c>
      <c r="K664" s="6" t="str">
        <f t="shared" si="21"/>
        <v>1-POR VENCER</v>
      </c>
      <c r="L664" s="7" t="str">
        <f>_xlfn.CONCAT(TEXT(MONTH(DATA[[#This Row],[FECHA DE VENCIMIENTO]]),"00"),"-",TEXT(DATA[[#This Row],[FECHA DE VENCIMIENTO]],"MMM"))</f>
        <v>12-Dic</v>
      </c>
    </row>
    <row r="665" spans="1:12" hidden="1" x14ac:dyDescent="0.3">
      <c r="A665" s="3">
        <v>44880</v>
      </c>
      <c r="B665" s="3">
        <v>44910</v>
      </c>
      <c r="C665" s="4">
        <f t="shared" si="20"/>
        <v>0</v>
      </c>
      <c r="D665" s="5" t="s">
        <v>888</v>
      </c>
      <c r="E665" s="5">
        <v>20136241789</v>
      </c>
      <c r="F665" s="5" t="s">
        <v>889</v>
      </c>
      <c r="G665" s="5" t="s">
        <v>33</v>
      </c>
      <c r="H665" s="5" t="s">
        <v>29</v>
      </c>
      <c r="I665" s="31">
        <v>0</v>
      </c>
      <c r="J665" s="31">
        <v>1331.04</v>
      </c>
      <c r="K665" s="6" t="str">
        <f t="shared" si="21"/>
        <v>1-POR VENCER</v>
      </c>
      <c r="L665" s="7" t="str">
        <f>_xlfn.CONCAT(TEXT(MONTH(DATA[[#This Row],[FECHA DE VENCIMIENTO]]),"00"),"-",TEXT(DATA[[#This Row],[FECHA DE VENCIMIENTO]],"MMM"))</f>
        <v>12-Dic</v>
      </c>
    </row>
    <row r="666" spans="1:12" hidden="1" x14ac:dyDescent="0.3">
      <c r="A666" s="3">
        <v>44880</v>
      </c>
      <c r="B666" s="3">
        <v>44910</v>
      </c>
      <c r="C666" s="4">
        <f t="shared" si="20"/>
        <v>0</v>
      </c>
      <c r="D666" s="5" t="s">
        <v>890</v>
      </c>
      <c r="E666" s="5">
        <v>20136241789</v>
      </c>
      <c r="F666" s="5" t="s">
        <v>889</v>
      </c>
      <c r="G666" s="5" t="s">
        <v>33</v>
      </c>
      <c r="H666" s="5" t="s">
        <v>29</v>
      </c>
      <c r="I666" s="31">
        <v>0</v>
      </c>
      <c r="J666" s="31">
        <v>831.9</v>
      </c>
      <c r="K666" s="6" t="str">
        <f t="shared" si="21"/>
        <v>1-POR VENCER</v>
      </c>
      <c r="L666" s="7" t="str">
        <f>_xlfn.CONCAT(TEXT(MONTH(DATA[[#This Row],[FECHA DE VENCIMIENTO]]),"00"),"-",TEXT(DATA[[#This Row],[FECHA DE VENCIMIENTO]],"MMM"))</f>
        <v>12-Dic</v>
      </c>
    </row>
    <row r="667" spans="1:12" hidden="1" x14ac:dyDescent="0.3">
      <c r="A667" s="3">
        <v>44880</v>
      </c>
      <c r="B667" s="3">
        <v>44910</v>
      </c>
      <c r="C667" s="4">
        <f t="shared" si="20"/>
        <v>0</v>
      </c>
      <c r="D667" s="5" t="s">
        <v>1105</v>
      </c>
      <c r="E667" s="5">
        <v>20527979936</v>
      </c>
      <c r="F667" s="5" t="s">
        <v>306</v>
      </c>
      <c r="G667" s="5" t="s">
        <v>33</v>
      </c>
      <c r="H667" s="5" t="s">
        <v>7</v>
      </c>
      <c r="I667" s="31">
        <v>385.62</v>
      </c>
      <c r="J667" s="31">
        <v>0</v>
      </c>
      <c r="K667" s="6" t="str">
        <f t="shared" si="21"/>
        <v>1-POR VENCER</v>
      </c>
      <c r="L667" s="7" t="str">
        <f>_xlfn.CONCAT(TEXT(MONTH(DATA[[#This Row],[FECHA DE VENCIMIENTO]]),"00"),"-",TEXT(DATA[[#This Row],[FECHA DE VENCIMIENTO]],"MMM"))</f>
        <v>12-Dic</v>
      </c>
    </row>
    <row r="668" spans="1:12" hidden="1" x14ac:dyDescent="0.3">
      <c r="A668" s="3">
        <v>44865</v>
      </c>
      <c r="B668" s="3">
        <v>44910</v>
      </c>
      <c r="C668" s="4">
        <f t="shared" si="20"/>
        <v>0</v>
      </c>
      <c r="D668" s="5" t="s">
        <v>1183</v>
      </c>
      <c r="E668" s="5">
        <v>20563716569</v>
      </c>
      <c r="F668" s="5" t="s">
        <v>1182</v>
      </c>
      <c r="G668" s="5" t="s">
        <v>33</v>
      </c>
      <c r="H668" s="5" t="s">
        <v>29</v>
      </c>
      <c r="I668" s="31">
        <v>0</v>
      </c>
      <c r="J668" s="31">
        <v>1050.2</v>
      </c>
      <c r="K668" s="6" t="str">
        <f t="shared" si="21"/>
        <v>1-POR VENCER</v>
      </c>
      <c r="L668" s="7" t="str">
        <f>_xlfn.CONCAT(TEXT(MONTH(DATA[[#This Row],[FECHA DE VENCIMIENTO]]),"00"),"-",TEXT(DATA[[#This Row],[FECHA DE VENCIMIENTO]],"MMM"))</f>
        <v>12-Dic</v>
      </c>
    </row>
    <row r="669" spans="1:12" hidden="1" x14ac:dyDescent="0.3">
      <c r="A669" s="3">
        <v>44880</v>
      </c>
      <c r="B669" s="3">
        <v>44910</v>
      </c>
      <c r="C669" s="4">
        <f t="shared" si="20"/>
        <v>0</v>
      </c>
      <c r="D669" s="5" t="s">
        <v>1187</v>
      </c>
      <c r="E669" s="5">
        <v>20559102271</v>
      </c>
      <c r="F669" s="5" t="s">
        <v>1188</v>
      </c>
      <c r="G669" s="5" t="s">
        <v>33</v>
      </c>
      <c r="H669" s="5" t="s">
        <v>29</v>
      </c>
      <c r="I669" s="31">
        <v>0</v>
      </c>
      <c r="J669" s="31">
        <v>129.33000000000001</v>
      </c>
      <c r="K669" s="6" t="str">
        <f t="shared" si="21"/>
        <v>1-POR VENCER</v>
      </c>
      <c r="L669" s="7" t="str">
        <f>_xlfn.CONCAT(TEXT(MONTH(DATA[[#This Row],[FECHA DE VENCIMIENTO]]),"00"),"-",TEXT(DATA[[#This Row],[FECHA DE VENCIMIENTO]],"MMM"))</f>
        <v>12-Dic</v>
      </c>
    </row>
    <row r="670" spans="1:12" ht="31.2" hidden="1" x14ac:dyDescent="0.3">
      <c r="A670" s="3">
        <v>44881</v>
      </c>
      <c r="B670" s="3">
        <v>44911</v>
      </c>
      <c r="C670" s="4">
        <f t="shared" si="20"/>
        <v>-1</v>
      </c>
      <c r="D670" s="5" t="s">
        <v>495</v>
      </c>
      <c r="E670" s="5">
        <v>20609315891</v>
      </c>
      <c r="F670" s="5" t="s">
        <v>496</v>
      </c>
      <c r="G670" s="5" t="s">
        <v>46</v>
      </c>
      <c r="H670" s="5" t="s">
        <v>29</v>
      </c>
      <c r="I670" s="31">
        <v>0</v>
      </c>
      <c r="J670" s="31">
        <v>903.29</v>
      </c>
      <c r="K670" s="6" t="str">
        <f t="shared" si="21"/>
        <v>1-POR VENCER</v>
      </c>
      <c r="L670" s="7" t="str">
        <f>_xlfn.CONCAT(TEXT(MONTH(DATA[[#This Row],[FECHA DE VENCIMIENTO]]),"00"),"-",TEXT(DATA[[#This Row],[FECHA DE VENCIMIENTO]],"MMM"))</f>
        <v>12-Dic</v>
      </c>
    </row>
    <row r="671" spans="1:12" ht="31.2" hidden="1" x14ac:dyDescent="0.3">
      <c r="A671" s="3">
        <v>44881</v>
      </c>
      <c r="B671" s="3">
        <v>44911</v>
      </c>
      <c r="C671" s="4">
        <f t="shared" si="20"/>
        <v>-1</v>
      </c>
      <c r="D671" s="5" t="s">
        <v>497</v>
      </c>
      <c r="E671" s="5">
        <v>20609315891</v>
      </c>
      <c r="F671" s="5" t="s">
        <v>496</v>
      </c>
      <c r="G671" s="5" t="s">
        <v>46</v>
      </c>
      <c r="H671" s="5" t="s">
        <v>7</v>
      </c>
      <c r="I671" s="31">
        <v>2584.1999999999998</v>
      </c>
      <c r="J671" s="31">
        <v>0</v>
      </c>
      <c r="K671" s="6" t="str">
        <f t="shared" si="21"/>
        <v>1-POR VENCER</v>
      </c>
      <c r="L671" s="7" t="str">
        <f>_xlfn.CONCAT(TEXT(MONTH(DATA[[#This Row],[FECHA DE VENCIMIENTO]]),"00"),"-",TEXT(DATA[[#This Row],[FECHA DE VENCIMIENTO]],"MMM"))</f>
        <v>12-Dic</v>
      </c>
    </row>
    <row r="672" spans="1:12" hidden="1" x14ac:dyDescent="0.3">
      <c r="A672" s="3">
        <v>44881</v>
      </c>
      <c r="B672" s="3">
        <v>44911</v>
      </c>
      <c r="C672" s="4">
        <f t="shared" si="20"/>
        <v>-1</v>
      </c>
      <c r="D672" s="5" t="s">
        <v>537</v>
      </c>
      <c r="E672" s="5">
        <v>20534068582</v>
      </c>
      <c r="F672" s="5" t="s">
        <v>538</v>
      </c>
      <c r="G672" s="5" t="s">
        <v>16</v>
      </c>
      <c r="H672" s="5" t="s">
        <v>29</v>
      </c>
      <c r="I672" s="31">
        <v>0</v>
      </c>
      <c r="J672" s="31">
        <v>198.24</v>
      </c>
      <c r="K672" s="6" t="str">
        <f t="shared" si="21"/>
        <v>1-POR VENCER</v>
      </c>
      <c r="L672" s="7" t="str">
        <f>_xlfn.CONCAT(TEXT(MONTH(DATA[[#This Row],[FECHA DE VENCIMIENTO]]),"00"),"-",TEXT(DATA[[#This Row],[FECHA DE VENCIMIENTO]],"MMM"))</f>
        <v>12-Dic</v>
      </c>
    </row>
    <row r="673" spans="1:12" ht="31.2" hidden="1" x14ac:dyDescent="0.3">
      <c r="A673" s="3">
        <v>44881</v>
      </c>
      <c r="B673" s="3">
        <v>44911</v>
      </c>
      <c r="C673" s="4">
        <f t="shared" si="20"/>
        <v>-1</v>
      </c>
      <c r="D673" s="5" t="s">
        <v>624</v>
      </c>
      <c r="E673" s="5">
        <v>20393226332</v>
      </c>
      <c r="F673" s="5" t="s">
        <v>246</v>
      </c>
      <c r="G673" s="5" t="s">
        <v>46</v>
      </c>
      <c r="H673" s="5" t="s">
        <v>7</v>
      </c>
      <c r="I673" s="31">
        <v>8911.36</v>
      </c>
      <c r="J673" s="31">
        <v>0</v>
      </c>
      <c r="K673" s="6" t="str">
        <f t="shared" si="21"/>
        <v>1-POR VENCER</v>
      </c>
      <c r="L673" s="7" t="str">
        <f>_xlfn.CONCAT(TEXT(MONTH(DATA[[#This Row],[FECHA DE VENCIMIENTO]]),"00"),"-",TEXT(DATA[[#This Row],[FECHA DE VENCIMIENTO]],"MMM"))</f>
        <v>12-Dic</v>
      </c>
    </row>
    <row r="674" spans="1:12" hidden="1" x14ac:dyDescent="0.3">
      <c r="A674" s="3">
        <v>44881</v>
      </c>
      <c r="B674" s="3">
        <v>44911</v>
      </c>
      <c r="C674" s="4">
        <f t="shared" si="20"/>
        <v>-1</v>
      </c>
      <c r="D674" s="5" t="s">
        <v>1001</v>
      </c>
      <c r="E674" s="5">
        <v>20600272200</v>
      </c>
      <c r="F674" s="5" t="s">
        <v>998</v>
      </c>
      <c r="G674" s="5" t="s">
        <v>33</v>
      </c>
      <c r="H674" s="5" t="s">
        <v>7</v>
      </c>
      <c r="I674" s="31">
        <v>5817.4</v>
      </c>
      <c r="J674" s="31">
        <v>0</v>
      </c>
      <c r="K674" s="6" t="str">
        <f t="shared" si="21"/>
        <v>1-POR VENCER</v>
      </c>
      <c r="L674" s="7" t="str">
        <f>_xlfn.CONCAT(TEXT(MONTH(DATA[[#This Row],[FECHA DE VENCIMIENTO]]),"00"),"-",TEXT(DATA[[#This Row],[FECHA DE VENCIMIENTO]],"MMM"))</f>
        <v>12-Dic</v>
      </c>
    </row>
    <row r="675" spans="1:12" hidden="1" x14ac:dyDescent="0.3">
      <c r="A675" s="3">
        <v>44851</v>
      </c>
      <c r="B675" s="3">
        <v>44911</v>
      </c>
      <c r="C675" s="4">
        <f t="shared" si="20"/>
        <v>-1</v>
      </c>
      <c r="D675" s="5" t="s">
        <v>1026</v>
      </c>
      <c r="E675" s="5">
        <v>20468261082</v>
      </c>
      <c r="F675" s="5" t="s">
        <v>161</v>
      </c>
      <c r="G675" s="5" t="s">
        <v>26</v>
      </c>
      <c r="H675" s="5" t="s">
        <v>7</v>
      </c>
      <c r="I675" s="31">
        <v>517.24</v>
      </c>
      <c r="J675" s="31">
        <v>0</v>
      </c>
      <c r="K675" s="6" t="str">
        <f t="shared" si="21"/>
        <v>1-POR VENCER</v>
      </c>
      <c r="L675" s="7" t="str">
        <f>_xlfn.CONCAT(TEXT(MONTH(DATA[[#This Row],[FECHA DE VENCIMIENTO]]),"00"),"-",TEXT(DATA[[#This Row],[FECHA DE VENCIMIENTO]],"MMM"))</f>
        <v>12-Dic</v>
      </c>
    </row>
    <row r="676" spans="1:12" hidden="1" x14ac:dyDescent="0.3">
      <c r="A676" s="3">
        <v>44851</v>
      </c>
      <c r="B676" s="3">
        <v>44911</v>
      </c>
      <c r="C676" s="4">
        <f t="shared" si="20"/>
        <v>-1</v>
      </c>
      <c r="D676" s="5" t="s">
        <v>1127</v>
      </c>
      <c r="E676" s="5">
        <v>20600109881</v>
      </c>
      <c r="F676" s="5" t="s">
        <v>1126</v>
      </c>
      <c r="G676" s="5" t="s">
        <v>13</v>
      </c>
      <c r="H676" s="5" t="s">
        <v>7</v>
      </c>
      <c r="I676" s="31">
        <v>3844.79</v>
      </c>
      <c r="J676" s="31">
        <v>0</v>
      </c>
      <c r="K676" s="6" t="str">
        <f t="shared" si="21"/>
        <v>1-POR VENCER</v>
      </c>
      <c r="L676" s="7" t="str">
        <f>_xlfn.CONCAT(TEXT(MONTH(DATA[[#This Row],[FECHA DE VENCIMIENTO]]),"00"),"-",TEXT(DATA[[#This Row],[FECHA DE VENCIMIENTO]],"MMM"))</f>
        <v>12-Dic</v>
      </c>
    </row>
    <row r="677" spans="1:12" hidden="1" x14ac:dyDescent="0.3">
      <c r="A677" s="3">
        <v>44881</v>
      </c>
      <c r="B677" s="3">
        <v>44911</v>
      </c>
      <c r="C677" s="4">
        <f t="shared" si="20"/>
        <v>-1</v>
      </c>
      <c r="D677" s="5" t="s">
        <v>1166</v>
      </c>
      <c r="E677" s="5">
        <v>20516083647</v>
      </c>
      <c r="F677" s="5" t="s">
        <v>360</v>
      </c>
      <c r="G677" s="5" t="s">
        <v>16</v>
      </c>
      <c r="H677" s="5" t="s">
        <v>29</v>
      </c>
      <c r="I677" s="31">
        <v>0</v>
      </c>
      <c r="J677" s="31">
        <v>1557.6</v>
      </c>
      <c r="K677" s="6" t="str">
        <f t="shared" si="21"/>
        <v>1-POR VENCER</v>
      </c>
      <c r="L677" s="7" t="str">
        <f>_xlfn.CONCAT(TEXT(MONTH(DATA[[#This Row],[FECHA DE VENCIMIENTO]]),"00"),"-",TEXT(DATA[[#This Row],[FECHA DE VENCIMIENTO]],"MMM"))</f>
        <v>12-Dic</v>
      </c>
    </row>
    <row r="678" spans="1:12" ht="31.2" hidden="1" x14ac:dyDescent="0.3">
      <c r="A678" s="3">
        <v>44851</v>
      </c>
      <c r="B678" s="3">
        <v>44911</v>
      </c>
      <c r="C678" s="4">
        <f t="shared" si="20"/>
        <v>-1</v>
      </c>
      <c r="D678" s="5" t="s">
        <v>1172</v>
      </c>
      <c r="E678" s="5">
        <v>20334218857</v>
      </c>
      <c r="F678" s="5" t="s">
        <v>1170</v>
      </c>
      <c r="G678" s="5" t="s">
        <v>46</v>
      </c>
      <c r="H678" s="5" t="s">
        <v>29</v>
      </c>
      <c r="I678" s="31">
        <v>0</v>
      </c>
      <c r="J678" s="31">
        <v>4366</v>
      </c>
      <c r="K678" s="6" t="str">
        <f t="shared" si="21"/>
        <v>1-POR VENCER</v>
      </c>
      <c r="L678" s="7" t="str">
        <f>_xlfn.CONCAT(TEXT(MONTH(DATA[[#This Row],[FECHA DE VENCIMIENTO]]),"00"),"-",TEXT(DATA[[#This Row],[FECHA DE VENCIMIENTO]],"MMM"))</f>
        <v>12-Dic</v>
      </c>
    </row>
    <row r="679" spans="1:12" hidden="1" x14ac:dyDescent="0.3">
      <c r="A679" s="3">
        <v>44882</v>
      </c>
      <c r="B679" s="3">
        <v>44912</v>
      </c>
      <c r="C679" s="4">
        <f t="shared" si="20"/>
        <v>-2</v>
      </c>
      <c r="D679" s="5" t="s">
        <v>485</v>
      </c>
      <c r="E679" s="5">
        <v>20540079227</v>
      </c>
      <c r="F679" s="5" t="s">
        <v>482</v>
      </c>
      <c r="G679" s="5" t="s">
        <v>58</v>
      </c>
      <c r="H679" s="5" t="s">
        <v>7</v>
      </c>
      <c r="I679" s="31">
        <v>3236.79</v>
      </c>
      <c r="J679" s="31">
        <v>0</v>
      </c>
      <c r="K679" s="6" t="str">
        <f t="shared" si="21"/>
        <v>1-POR VENCER</v>
      </c>
      <c r="L679" s="7" t="str">
        <f>_xlfn.CONCAT(TEXT(MONTH(DATA[[#This Row],[FECHA DE VENCIMIENTO]]),"00"),"-",TEXT(DATA[[#This Row],[FECHA DE VENCIMIENTO]],"MMM"))</f>
        <v>12-Dic</v>
      </c>
    </row>
    <row r="680" spans="1:12" hidden="1" x14ac:dyDescent="0.3">
      <c r="A680" s="3">
        <v>44867</v>
      </c>
      <c r="B680" s="3">
        <v>44912</v>
      </c>
      <c r="C680" s="4">
        <f t="shared" si="20"/>
        <v>-2</v>
      </c>
      <c r="D680" s="5" t="s">
        <v>619</v>
      </c>
      <c r="E680" s="5">
        <v>20600194144</v>
      </c>
      <c r="F680" s="5" t="s">
        <v>616</v>
      </c>
      <c r="G680" s="5" t="s">
        <v>13</v>
      </c>
      <c r="H680" s="5" t="s">
        <v>7</v>
      </c>
      <c r="I680" s="31">
        <v>4012</v>
      </c>
      <c r="J680" s="31">
        <v>0</v>
      </c>
      <c r="K680" s="6" t="str">
        <f t="shared" si="21"/>
        <v>1-POR VENCER</v>
      </c>
      <c r="L680" s="7" t="str">
        <f>_xlfn.CONCAT(TEXT(MONTH(DATA[[#This Row],[FECHA DE VENCIMIENTO]]),"00"),"-",TEXT(DATA[[#This Row],[FECHA DE VENCIMIENTO]],"MMM"))</f>
        <v>12-Dic</v>
      </c>
    </row>
    <row r="681" spans="1:12" hidden="1" x14ac:dyDescent="0.3">
      <c r="A681" s="3">
        <v>44882</v>
      </c>
      <c r="B681" s="3">
        <v>44912</v>
      </c>
      <c r="C681" s="4">
        <f t="shared" si="20"/>
        <v>-2</v>
      </c>
      <c r="D681" s="5" t="s">
        <v>633</v>
      </c>
      <c r="E681" s="5">
        <v>20609301121</v>
      </c>
      <c r="F681" s="5" t="s">
        <v>631</v>
      </c>
      <c r="G681" s="5" t="s">
        <v>16</v>
      </c>
      <c r="H681" s="5" t="s">
        <v>29</v>
      </c>
      <c r="I681" s="31">
        <v>0</v>
      </c>
      <c r="J681" s="31">
        <v>968.49</v>
      </c>
      <c r="K681" s="6" t="str">
        <f t="shared" si="21"/>
        <v>1-POR VENCER</v>
      </c>
      <c r="L681" s="7" t="str">
        <f>_xlfn.CONCAT(TEXT(MONTH(DATA[[#This Row],[FECHA DE VENCIMIENTO]]),"00"),"-",TEXT(DATA[[#This Row],[FECHA DE VENCIMIENTO]],"MMM"))</f>
        <v>12-Dic</v>
      </c>
    </row>
    <row r="682" spans="1:12" hidden="1" x14ac:dyDescent="0.3">
      <c r="A682" s="3">
        <v>44882</v>
      </c>
      <c r="B682" s="3">
        <v>44912</v>
      </c>
      <c r="C682" s="4">
        <f t="shared" si="20"/>
        <v>-2</v>
      </c>
      <c r="D682" s="5" t="s">
        <v>637</v>
      </c>
      <c r="E682" s="5">
        <v>20609301121</v>
      </c>
      <c r="F682" s="5" t="s">
        <v>631</v>
      </c>
      <c r="G682" s="5" t="s">
        <v>16</v>
      </c>
      <c r="H682" s="5" t="s">
        <v>7</v>
      </c>
      <c r="I682" s="31">
        <v>1604.8</v>
      </c>
      <c r="J682" s="31">
        <v>0</v>
      </c>
      <c r="K682" s="6" t="str">
        <f t="shared" si="21"/>
        <v>1-POR VENCER</v>
      </c>
      <c r="L682" s="7" t="str">
        <f>_xlfn.CONCAT(TEXT(MONTH(DATA[[#This Row],[FECHA DE VENCIMIENTO]]),"00"),"-",TEXT(DATA[[#This Row],[FECHA DE VENCIMIENTO]],"MMM"))</f>
        <v>12-Dic</v>
      </c>
    </row>
    <row r="683" spans="1:12" hidden="1" x14ac:dyDescent="0.3">
      <c r="A683" s="3">
        <v>44882</v>
      </c>
      <c r="B683" s="3">
        <v>44912</v>
      </c>
      <c r="C683" s="4">
        <f t="shared" si="20"/>
        <v>-2</v>
      </c>
      <c r="D683" s="5" t="s">
        <v>659</v>
      </c>
      <c r="E683" s="5">
        <v>20132100552</v>
      </c>
      <c r="F683" s="5" t="s">
        <v>660</v>
      </c>
      <c r="G683" s="5" t="s">
        <v>58</v>
      </c>
      <c r="H683" s="5" t="s">
        <v>29</v>
      </c>
      <c r="I683" s="31">
        <v>0</v>
      </c>
      <c r="J683" s="31">
        <v>368.75</v>
      </c>
      <c r="K683" s="6" t="str">
        <f t="shared" si="21"/>
        <v>1-POR VENCER</v>
      </c>
      <c r="L683" s="7" t="str">
        <f>_xlfn.CONCAT(TEXT(MONTH(DATA[[#This Row],[FECHA DE VENCIMIENTO]]),"00"),"-",TEXT(DATA[[#This Row],[FECHA DE VENCIMIENTO]],"MMM"))</f>
        <v>12-Dic</v>
      </c>
    </row>
    <row r="684" spans="1:12" hidden="1" x14ac:dyDescent="0.3">
      <c r="A684" s="3">
        <v>44882</v>
      </c>
      <c r="B684" s="3">
        <v>44912</v>
      </c>
      <c r="C684" s="4">
        <f t="shared" si="20"/>
        <v>-2</v>
      </c>
      <c r="D684" s="5" t="s">
        <v>668</v>
      </c>
      <c r="E684" s="5">
        <v>20132100552</v>
      </c>
      <c r="F684" s="5" t="s">
        <v>660</v>
      </c>
      <c r="G684" s="5" t="s">
        <v>58</v>
      </c>
      <c r="H684" s="5" t="s">
        <v>7</v>
      </c>
      <c r="I684" s="31">
        <v>716.14</v>
      </c>
      <c r="J684" s="31">
        <v>0</v>
      </c>
      <c r="K684" s="6" t="str">
        <f t="shared" si="21"/>
        <v>1-POR VENCER</v>
      </c>
      <c r="L684" s="7" t="str">
        <f>_xlfn.CONCAT(TEXT(MONTH(DATA[[#This Row],[FECHA DE VENCIMIENTO]]),"00"),"-",TEXT(DATA[[#This Row],[FECHA DE VENCIMIENTO]],"MMM"))</f>
        <v>12-Dic</v>
      </c>
    </row>
    <row r="685" spans="1:12" hidden="1" x14ac:dyDescent="0.3">
      <c r="A685" s="3">
        <v>44852</v>
      </c>
      <c r="B685" s="3">
        <v>44912</v>
      </c>
      <c r="C685" s="4">
        <f t="shared" si="20"/>
        <v>-2</v>
      </c>
      <c r="D685" s="5" t="s">
        <v>736</v>
      </c>
      <c r="E685" s="5">
        <v>20506421781</v>
      </c>
      <c r="F685" s="5" t="s">
        <v>735</v>
      </c>
      <c r="G685" s="5" t="s">
        <v>33</v>
      </c>
      <c r="H685" s="5" t="s">
        <v>29</v>
      </c>
      <c r="I685" s="31">
        <v>0</v>
      </c>
      <c r="J685" s="31">
        <v>4299.75</v>
      </c>
      <c r="K685" s="6" t="str">
        <f t="shared" si="21"/>
        <v>1-POR VENCER</v>
      </c>
      <c r="L685" s="7" t="str">
        <f>_xlfn.CONCAT(TEXT(MONTH(DATA[[#This Row],[FECHA DE VENCIMIENTO]]),"00"),"-",TEXT(DATA[[#This Row],[FECHA DE VENCIMIENTO]],"MMM"))</f>
        <v>12-Dic</v>
      </c>
    </row>
    <row r="686" spans="1:12" hidden="1" x14ac:dyDescent="0.3">
      <c r="A686" s="3">
        <v>44852</v>
      </c>
      <c r="B686" s="3">
        <v>44912</v>
      </c>
      <c r="C686" s="4">
        <f t="shared" si="20"/>
        <v>-2</v>
      </c>
      <c r="D686" s="5" t="s">
        <v>742</v>
      </c>
      <c r="E686" s="5">
        <v>20506421781</v>
      </c>
      <c r="F686" s="5" t="s">
        <v>735</v>
      </c>
      <c r="G686" s="5" t="s">
        <v>33</v>
      </c>
      <c r="H686" s="5" t="s">
        <v>29</v>
      </c>
      <c r="I686" s="31">
        <v>0</v>
      </c>
      <c r="J686" s="31">
        <v>5451.56</v>
      </c>
      <c r="K686" s="6" t="str">
        <f t="shared" si="21"/>
        <v>1-POR VENCER</v>
      </c>
      <c r="L686" s="7" t="str">
        <f>_xlfn.CONCAT(TEXT(MONTH(DATA[[#This Row],[FECHA DE VENCIMIENTO]]),"00"),"-",TEXT(DATA[[#This Row],[FECHA DE VENCIMIENTO]],"MMM"))</f>
        <v>12-Dic</v>
      </c>
    </row>
    <row r="687" spans="1:12" hidden="1" x14ac:dyDescent="0.3">
      <c r="A687" s="3">
        <v>44852</v>
      </c>
      <c r="B687" s="3">
        <v>44912</v>
      </c>
      <c r="C687" s="4">
        <f t="shared" si="20"/>
        <v>-2</v>
      </c>
      <c r="D687" s="5" t="s">
        <v>744</v>
      </c>
      <c r="E687" s="5">
        <v>20506421781</v>
      </c>
      <c r="F687" s="5" t="s">
        <v>735</v>
      </c>
      <c r="G687" s="5" t="s">
        <v>33</v>
      </c>
      <c r="H687" s="5" t="s">
        <v>29</v>
      </c>
      <c r="I687" s="31">
        <v>0</v>
      </c>
      <c r="J687" s="31">
        <v>1097.4000000000001</v>
      </c>
      <c r="K687" s="6" t="str">
        <f t="shared" si="21"/>
        <v>1-POR VENCER</v>
      </c>
      <c r="L687" s="7" t="str">
        <f>_xlfn.CONCAT(TEXT(MONTH(DATA[[#This Row],[FECHA DE VENCIMIENTO]]),"00"),"-",TEXT(DATA[[#This Row],[FECHA DE VENCIMIENTO]],"MMM"))</f>
        <v>12-Dic</v>
      </c>
    </row>
    <row r="688" spans="1:12" ht="31.2" hidden="1" x14ac:dyDescent="0.3">
      <c r="A688" s="3">
        <v>44882</v>
      </c>
      <c r="B688" s="3">
        <v>44912</v>
      </c>
      <c r="C688" s="4">
        <f t="shared" si="20"/>
        <v>-2</v>
      </c>
      <c r="D688" s="5" t="s">
        <v>773</v>
      </c>
      <c r="E688" s="5">
        <v>20135541703</v>
      </c>
      <c r="F688" s="5" t="s">
        <v>774</v>
      </c>
      <c r="G688" s="5" t="s">
        <v>46</v>
      </c>
      <c r="H688" s="5" t="s">
        <v>29</v>
      </c>
      <c r="I688" s="31">
        <v>0</v>
      </c>
      <c r="J688" s="31">
        <v>590</v>
      </c>
      <c r="K688" s="6" t="str">
        <f t="shared" si="21"/>
        <v>1-POR VENCER</v>
      </c>
      <c r="L688" s="7" t="str">
        <f>_xlfn.CONCAT(TEXT(MONTH(DATA[[#This Row],[FECHA DE VENCIMIENTO]]),"00"),"-",TEXT(DATA[[#This Row],[FECHA DE VENCIMIENTO]],"MMM"))</f>
        <v>12-Dic</v>
      </c>
    </row>
    <row r="689" spans="1:12" hidden="1" x14ac:dyDescent="0.3">
      <c r="A689" s="3">
        <v>44883</v>
      </c>
      <c r="B689" s="3">
        <v>44913</v>
      </c>
      <c r="C689" s="4">
        <f t="shared" si="20"/>
        <v>-3</v>
      </c>
      <c r="D689" s="5" t="s">
        <v>461</v>
      </c>
      <c r="E689" s="5">
        <v>20555931914</v>
      </c>
      <c r="F689" s="5" t="s">
        <v>459</v>
      </c>
      <c r="G689" s="5" t="s">
        <v>16</v>
      </c>
      <c r="H689" s="5" t="s">
        <v>29</v>
      </c>
      <c r="I689" s="31">
        <v>0</v>
      </c>
      <c r="J689" s="31">
        <v>587.64</v>
      </c>
      <c r="K689" s="6" t="str">
        <f t="shared" si="21"/>
        <v>1-POR VENCER</v>
      </c>
      <c r="L689" s="7" t="str">
        <f>_xlfn.CONCAT(TEXT(MONTH(DATA[[#This Row],[FECHA DE VENCIMIENTO]]),"00"),"-",TEXT(DATA[[#This Row],[FECHA DE VENCIMIENTO]],"MMM"))</f>
        <v>12-Dic</v>
      </c>
    </row>
    <row r="690" spans="1:12" hidden="1" x14ac:dyDescent="0.3">
      <c r="A690" s="3">
        <v>44883</v>
      </c>
      <c r="B690" s="3">
        <v>44913</v>
      </c>
      <c r="C690" s="4">
        <f t="shared" si="20"/>
        <v>-3</v>
      </c>
      <c r="D690" s="5" t="s">
        <v>498</v>
      </c>
      <c r="E690" s="5">
        <v>20320731314</v>
      </c>
      <c r="F690" s="5" t="s">
        <v>331</v>
      </c>
      <c r="G690" s="5" t="s">
        <v>16</v>
      </c>
      <c r="H690" s="5" t="s">
        <v>29</v>
      </c>
      <c r="I690" s="31">
        <v>0</v>
      </c>
      <c r="J690" s="31">
        <v>2218.4</v>
      </c>
      <c r="K690" s="6" t="str">
        <f t="shared" si="21"/>
        <v>1-POR VENCER</v>
      </c>
      <c r="L690" s="7" t="str">
        <f>_xlfn.CONCAT(TEXT(MONTH(DATA[[#This Row],[FECHA DE VENCIMIENTO]]),"00"),"-",TEXT(DATA[[#This Row],[FECHA DE VENCIMIENTO]],"MMM"))</f>
        <v>12-Dic</v>
      </c>
    </row>
    <row r="691" spans="1:12" hidden="1" x14ac:dyDescent="0.3">
      <c r="A691" s="3">
        <v>44853</v>
      </c>
      <c r="B691" s="3">
        <v>44913</v>
      </c>
      <c r="C691" s="4">
        <f t="shared" si="20"/>
        <v>-3</v>
      </c>
      <c r="D691" s="5" t="s">
        <v>743</v>
      </c>
      <c r="E691" s="5">
        <v>20506421781</v>
      </c>
      <c r="F691" s="5" t="s">
        <v>735</v>
      </c>
      <c r="G691" s="5" t="s">
        <v>33</v>
      </c>
      <c r="H691" s="5" t="s">
        <v>29</v>
      </c>
      <c r="I691" s="31">
        <v>0</v>
      </c>
      <c r="J691" s="31">
        <v>4394.32</v>
      </c>
      <c r="K691" s="6" t="str">
        <f t="shared" si="21"/>
        <v>1-POR VENCER</v>
      </c>
      <c r="L691" s="7" t="str">
        <f>_xlfn.CONCAT(TEXT(MONTH(DATA[[#This Row],[FECHA DE VENCIMIENTO]]),"00"),"-",TEXT(DATA[[#This Row],[FECHA DE VENCIMIENTO]],"MMM"))</f>
        <v>12-Dic</v>
      </c>
    </row>
    <row r="692" spans="1:12" ht="31.2" hidden="1" x14ac:dyDescent="0.3">
      <c r="A692" s="3">
        <v>44883</v>
      </c>
      <c r="B692" s="3">
        <v>44913</v>
      </c>
      <c r="C692" s="4">
        <f t="shared" si="20"/>
        <v>-3</v>
      </c>
      <c r="D692" s="5" t="s">
        <v>951</v>
      </c>
      <c r="E692" s="5">
        <v>20479862738</v>
      </c>
      <c r="F692" s="5" t="s">
        <v>950</v>
      </c>
      <c r="G692" s="5" t="s">
        <v>46</v>
      </c>
      <c r="H692" s="5" t="s">
        <v>29</v>
      </c>
      <c r="I692" s="31">
        <v>0</v>
      </c>
      <c r="J692" s="31">
        <v>387.98</v>
      </c>
      <c r="K692" s="6" t="str">
        <f t="shared" si="21"/>
        <v>1-POR VENCER</v>
      </c>
      <c r="L692" s="7" t="str">
        <f>_xlfn.CONCAT(TEXT(MONTH(DATA[[#This Row],[FECHA DE VENCIMIENTO]]),"00"),"-",TEXT(DATA[[#This Row],[FECHA DE VENCIMIENTO]],"MMM"))</f>
        <v>12-Dic</v>
      </c>
    </row>
    <row r="693" spans="1:12" hidden="1" x14ac:dyDescent="0.3">
      <c r="A693" s="3">
        <v>44883</v>
      </c>
      <c r="B693" s="3">
        <v>44913</v>
      </c>
      <c r="C693" s="4">
        <f t="shared" si="20"/>
        <v>-3</v>
      </c>
      <c r="D693" s="5" t="s">
        <v>972</v>
      </c>
      <c r="E693" s="5">
        <v>20600450329</v>
      </c>
      <c r="F693" s="5" t="s">
        <v>341</v>
      </c>
      <c r="G693" s="5" t="s">
        <v>13</v>
      </c>
      <c r="H693" s="5" t="s">
        <v>29</v>
      </c>
      <c r="I693" s="31">
        <v>0</v>
      </c>
      <c r="J693" s="31">
        <v>193.52</v>
      </c>
      <c r="K693" s="6" t="str">
        <f t="shared" si="21"/>
        <v>1-POR VENCER</v>
      </c>
      <c r="L693" s="7" t="str">
        <f>_xlfn.CONCAT(TEXT(MONTH(DATA[[#This Row],[FECHA DE VENCIMIENTO]]),"00"),"-",TEXT(DATA[[#This Row],[FECHA DE VENCIMIENTO]],"MMM"))</f>
        <v>12-Dic</v>
      </c>
    </row>
    <row r="694" spans="1:12" hidden="1" x14ac:dyDescent="0.3">
      <c r="A694" s="3">
        <v>44853</v>
      </c>
      <c r="B694" s="3">
        <v>44913</v>
      </c>
      <c r="C694" s="4">
        <f t="shared" si="20"/>
        <v>-3</v>
      </c>
      <c r="D694" s="5" t="s">
        <v>1125</v>
      </c>
      <c r="E694" s="5">
        <v>20600109881</v>
      </c>
      <c r="F694" s="5" t="s">
        <v>1126</v>
      </c>
      <c r="G694" s="5" t="s">
        <v>13</v>
      </c>
      <c r="H694" s="5" t="s">
        <v>7</v>
      </c>
      <c r="I694" s="31">
        <v>4165.7700000000004</v>
      </c>
      <c r="J694" s="31">
        <v>0</v>
      </c>
      <c r="K694" s="6" t="str">
        <f t="shared" si="21"/>
        <v>1-POR VENCER</v>
      </c>
      <c r="L694" s="7" t="str">
        <f>_xlfn.CONCAT(TEXT(MONTH(DATA[[#This Row],[FECHA DE VENCIMIENTO]]),"00"),"-",TEXT(DATA[[#This Row],[FECHA DE VENCIMIENTO]],"MMM"))</f>
        <v>12-Dic</v>
      </c>
    </row>
    <row r="695" spans="1:12" hidden="1" x14ac:dyDescent="0.3">
      <c r="A695" s="3">
        <v>44853</v>
      </c>
      <c r="B695" s="3">
        <v>44913</v>
      </c>
      <c r="C695" s="4">
        <f t="shared" si="20"/>
        <v>-3</v>
      </c>
      <c r="D695" s="5" t="s">
        <v>1129</v>
      </c>
      <c r="E695" s="5">
        <v>20600109881</v>
      </c>
      <c r="F695" s="5" t="s">
        <v>1126</v>
      </c>
      <c r="G695" s="5" t="s">
        <v>13</v>
      </c>
      <c r="H695" s="5" t="s">
        <v>7</v>
      </c>
      <c r="I695" s="31">
        <v>115.69</v>
      </c>
      <c r="J695" s="31">
        <v>0</v>
      </c>
      <c r="K695" s="6" t="str">
        <f t="shared" si="21"/>
        <v>1-POR VENCER</v>
      </c>
      <c r="L695" s="7" t="str">
        <f>_xlfn.CONCAT(TEXT(MONTH(DATA[[#This Row],[FECHA DE VENCIMIENTO]]),"00"),"-",TEXT(DATA[[#This Row],[FECHA DE VENCIMIENTO]],"MMM"))</f>
        <v>12-Dic</v>
      </c>
    </row>
    <row r="696" spans="1:12" hidden="1" x14ac:dyDescent="0.3">
      <c r="A696" s="3">
        <v>44854</v>
      </c>
      <c r="B696" s="3">
        <v>44914</v>
      </c>
      <c r="C696" s="4">
        <f t="shared" si="20"/>
        <v>-4</v>
      </c>
      <c r="D696" s="5" t="s">
        <v>713</v>
      </c>
      <c r="E696" s="5">
        <v>20132373958</v>
      </c>
      <c r="F696" s="5" t="s">
        <v>697</v>
      </c>
      <c r="G696" s="5" t="s">
        <v>58</v>
      </c>
      <c r="H696" s="5" t="s">
        <v>7</v>
      </c>
      <c r="I696" s="31">
        <v>3955.95</v>
      </c>
      <c r="J696" s="31">
        <v>0</v>
      </c>
      <c r="K696" s="6" t="str">
        <f t="shared" si="21"/>
        <v>1-POR VENCER</v>
      </c>
      <c r="L696" s="7" t="str">
        <f>_xlfn.CONCAT(TEXT(MONTH(DATA[[#This Row],[FECHA DE VENCIMIENTO]]),"00"),"-",TEXT(DATA[[#This Row],[FECHA DE VENCIMIENTO]],"MMM"))</f>
        <v>12-Dic</v>
      </c>
    </row>
    <row r="697" spans="1:12" ht="31.2" hidden="1" x14ac:dyDescent="0.3">
      <c r="A697" s="3">
        <v>44854</v>
      </c>
      <c r="B697" s="3">
        <v>44914</v>
      </c>
      <c r="C697" s="4">
        <f t="shared" si="20"/>
        <v>-4</v>
      </c>
      <c r="D697" s="5" t="s">
        <v>787</v>
      </c>
      <c r="E697" s="5">
        <v>20451060393</v>
      </c>
      <c r="F697" s="5" t="s">
        <v>786</v>
      </c>
      <c r="G697" s="5" t="s">
        <v>46</v>
      </c>
      <c r="H697" s="5" t="s">
        <v>29</v>
      </c>
      <c r="I697" s="31">
        <v>0</v>
      </c>
      <c r="J697" s="31">
        <v>1087.3699999999999</v>
      </c>
      <c r="K697" s="6" t="str">
        <f t="shared" si="21"/>
        <v>1-POR VENCER</v>
      </c>
      <c r="L697" s="7" t="str">
        <f>_xlfn.CONCAT(TEXT(MONTH(DATA[[#This Row],[FECHA DE VENCIMIENTO]]),"00"),"-",TEXT(DATA[[#This Row],[FECHA DE VENCIMIENTO]],"MMM"))</f>
        <v>12-Dic</v>
      </c>
    </row>
    <row r="698" spans="1:12" ht="31.2" hidden="1" x14ac:dyDescent="0.3">
      <c r="A698" s="3">
        <v>44854</v>
      </c>
      <c r="B698" s="3">
        <v>44914</v>
      </c>
      <c r="C698" s="4">
        <f t="shared" si="20"/>
        <v>-4</v>
      </c>
      <c r="D698" s="5" t="s">
        <v>789</v>
      </c>
      <c r="E698" s="5">
        <v>20451060393</v>
      </c>
      <c r="F698" s="5" t="s">
        <v>786</v>
      </c>
      <c r="G698" s="5" t="s">
        <v>46</v>
      </c>
      <c r="H698" s="5" t="s">
        <v>29</v>
      </c>
      <c r="I698" s="31">
        <v>0</v>
      </c>
      <c r="J698" s="31">
        <v>1201.83</v>
      </c>
      <c r="K698" s="6" t="str">
        <f t="shared" si="21"/>
        <v>1-POR VENCER</v>
      </c>
      <c r="L698" s="7" t="str">
        <f>_xlfn.CONCAT(TEXT(MONTH(DATA[[#This Row],[FECHA DE VENCIMIENTO]]),"00"),"-",TEXT(DATA[[#This Row],[FECHA DE VENCIMIENTO]],"MMM"))</f>
        <v>12-Dic</v>
      </c>
    </row>
    <row r="699" spans="1:12" hidden="1" x14ac:dyDescent="0.3">
      <c r="A699" s="3">
        <v>44854</v>
      </c>
      <c r="B699" s="3">
        <v>44914</v>
      </c>
      <c r="C699" s="4">
        <f t="shared" si="20"/>
        <v>-4</v>
      </c>
      <c r="D699" s="5" t="s">
        <v>1131</v>
      </c>
      <c r="E699" s="5">
        <v>20600109881</v>
      </c>
      <c r="F699" s="5" t="s">
        <v>1126</v>
      </c>
      <c r="G699" s="5" t="s">
        <v>13</v>
      </c>
      <c r="H699" s="5" t="s">
        <v>7</v>
      </c>
      <c r="I699" s="31">
        <v>5895.35</v>
      </c>
      <c r="J699" s="31">
        <v>0</v>
      </c>
      <c r="K699" s="6" t="str">
        <f t="shared" si="21"/>
        <v>1-POR VENCER</v>
      </c>
      <c r="L699" s="7" t="str">
        <f>_xlfn.CONCAT(TEXT(MONTH(DATA[[#This Row],[FECHA DE VENCIMIENTO]]),"00"),"-",TEXT(DATA[[#This Row],[FECHA DE VENCIMIENTO]],"MMM"))</f>
        <v>12-Dic</v>
      </c>
    </row>
    <row r="700" spans="1:12" ht="31.2" hidden="1" x14ac:dyDescent="0.3">
      <c r="A700" s="3">
        <v>44900</v>
      </c>
      <c r="B700" s="3">
        <v>44915</v>
      </c>
      <c r="C700" s="4">
        <f t="shared" si="20"/>
        <v>-5</v>
      </c>
      <c r="D700" s="5" t="s">
        <v>722</v>
      </c>
      <c r="E700" s="5">
        <v>20307167442</v>
      </c>
      <c r="F700" s="5" t="s">
        <v>36</v>
      </c>
      <c r="G700" s="5" t="s">
        <v>26</v>
      </c>
      <c r="H700" s="5" t="s">
        <v>7</v>
      </c>
      <c r="I700" s="31">
        <v>9900</v>
      </c>
      <c r="J700" s="31">
        <v>0</v>
      </c>
      <c r="K700" s="6" t="str">
        <f t="shared" si="21"/>
        <v>1-POR VENCER</v>
      </c>
      <c r="L700" s="7" t="str">
        <f>_xlfn.CONCAT(TEXT(MONTH(DATA[[#This Row],[FECHA DE VENCIMIENTO]]),"00"),"-",TEXT(DATA[[#This Row],[FECHA DE VENCIMIENTO]],"MMM"))</f>
        <v>12-Dic</v>
      </c>
    </row>
    <row r="701" spans="1:12" hidden="1" x14ac:dyDescent="0.3">
      <c r="A701" s="3">
        <v>44855</v>
      </c>
      <c r="B701" s="3">
        <v>44915</v>
      </c>
      <c r="C701" s="4">
        <f t="shared" si="20"/>
        <v>-5</v>
      </c>
      <c r="D701" s="5" t="s">
        <v>783</v>
      </c>
      <c r="E701" s="5">
        <v>20439320126</v>
      </c>
      <c r="F701" s="5" t="s">
        <v>777</v>
      </c>
      <c r="G701" s="5" t="s">
        <v>58</v>
      </c>
      <c r="H701" s="5" t="s">
        <v>29</v>
      </c>
      <c r="I701" s="31">
        <v>0</v>
      </c>
      <c r="J701" s="31">
        <v>572.29999999999995</v>
      </c>
      <c r="K701" s="6" t="str">
        <f t="shared" si="21"/>
        <v>1-POR VENCER</v>
      </c>
      <c r="L701" s="7" t="str">
        <f>_xlfn.CONCAT(TEXT(MONTH(DATA[[#This Row],[FECHA DE VENCIMIENTO]]),"00"),"-",TEXT(DATA[[#This Row],[FECHA DE VENCIMIENTO]],"MMM"))</f>
        <v>12-Dic</v>
      </c>
    </row>
    <row r="702" spans="1:12" hidden="1" x14ac:dyDescent="0.3">
      <c r="A702" s="3">
        <v>44855</v>
      </c>
      <c r="B702" s="3">
        <v>44915</v>
      </c>
      <c r="C702" s="4">
        <f t="shared" si="20"/>
        <v>-5</v>
      </c>
      <c r="D702" s="5" t="s">
        <v>876</v>
      </c>
      <c r="E702" s="5">
        <v>20506322708</v>
      </c>
      <c r="F702" s="5" t="s">
        <v>873</v>
      </c>
      <c r="G702" s="5" t="s">
        <v>13</v>
      </c>
      <c r="H702" s="5" t="s">
        <v>29</v>
      </c>
      <c r="I702" s="31">
        <v>0</v>
      </c>
      <c r="J702" s="31">
        <v>488.8</v>
      </c>
      <c r="K702" s="6" t="str">
        <f t="shared" si="21"/>
        <v>1-POR VENCER</v>
      </c>
      <c r="L702" s="7" t="str">
        <f>_xlfn.CONCAT(TEXT(MONTH(DATA[[#This Row],[FECHA DE VENCIMIENTO]]),"00"),"-",TEXT(DATA[[#This Row],[FECHA DE VENCIMIENTO]],"MMM"))</f>
        <v>12-Dic</v>
      </c>
    </row>
    <row r="703" spans="1:12" hidden="1" x14ac:dyDescent="0.3">
      <c r="A703" s="3">
        <v>44855</v>
      </c>
      <c r="B703" s="3">
        <v>44915</v>
      </c>
      <c r="C703" s="4">
        <f t="shared" si="20"/>
        <v>-5</v>
      </c>
      <c r="D703" s="5" t="s">
        <v>914</v>
      </c>
      <c r="E703" s="5">
        <v>20155261570</v>
      </c>
      <c r="F703" s="5" t="s">
        <v>355</v>
      </c>
      <c r="G703" s="5" t="s">
        <v>13</v>
      </c>
      <c r="H703" s="5" t="s">
        <v>7</v>
      </c>
      <c r="I703" s="31">
        <v>934.56</v>
      </c>
      <c r="J703" s="31">
        <v>0</v>
      </c>
      <c r="K703" s="6" t="str">
        <f t="shared" si="21"/>
        <v>1-POR VENCER</v>
      </c>
      <c r="L703" s="7" t="str">
        <f>_xlfn.CONCAT(TEXT(MONTH(DATA[[#This Row],[FECHA DE VENCIMIENTO]]),"00"),"-",TEXT(DATA[[#This Row],[FECHA DE VENCIMIENTO]],"MMM"))</f>
        <v>12-Dic</v>
      </c>
    </row>
    <row r="704" spans="1:12" hidden="1" x14ac:dyDescent="0.3">
      <c r="A704" s="3">
        <v>44886</v>
      </c>
      <c r="B704" s="3">
        <v>44916</v>
      </c>
      <c r="C704" s="4">
        <f t="shared" si="20"/>
        <v>-6</v>
      </c>
      <c r="D704" s="5" t="s">
        <v>467</v>
      </c>
      <c r="E704" s="5">
        <v>20510844034</v>
      </c>
      <c r="F704" s="5" t="s">
        <v>464</v>
      </c>
      <c r="G704" s="5" t="s">
        <v>13</v>
      </c>
      <c r="H704" s="5" t="s">
        <v>29</v>
      </c>
      <c r="I704" s="31">
        <v>0</v>
      </c>
      <c r="J704" s="31">
        <v>3311.08</v>
      </c>
      <c r="K704" s="6" t="str">
        <f t="shared" si="21"/>
        <v>1-POR VENCER</v>
      </c>
      <c r="L704" s="7" t="str">
        <f>_xlfn.CONCAT(TEXT(MONTH(DATA[[#This Row],[FECHA DE VENCIMIENTO]]),"00"),"-",TEXT(DATA[[#This Row],[FECHA DE VENCIMIENTO]],"MMM"))</f>
        <v>12-Dic</v>
      </c>
    </row>
    <row r="705" spans="1:12" ht="31.2" hidden="1" x14ac:dyDescent="0.3">
      <c r="A705" s="3">
        <v>44886</v>
      </c>
      <c r="B705" s="3">
        <v>44916</v>
      </c>
      <c r="C705" s="4">
        <f t="shared" si="20"/>
        <v>-6</v>
      </c>
      <c r="D705" s="5" t="s">
        <v>487</v>
      </c>
      <c r="E705" s="5">
        <v>20600417046</v>
      </c>
      <c r="F705" s="5" t="s">
        <v>488</v>
      </c>
      <c r="G705" s="5" t="s">
        <v>46</v>
      </c>
      <c r="H705" s="5" t="s">
        <v>7</v>
      </c>
      <c r="I705" s="31">
        <v>5289.85</v>
      </c>
      <c r="J705" s="31">
        <v>0</v>
      </c>
      <c r="K705" s="6" t="str">
        <f t="shared" si="21"/>
        <v>1-POR VENCER</v>
      </c>
      <c r="L705" s="7" t="str">
        <f>_xlfn.CONCAT(TEXT(MONTH(DATA[[#This Row],[FECHA DE VENCIMIENTO]]),"00"),"-",TEXT(DATA[[#This Row],[FECHA DE VENCIMIENTO]],"MMM"))</f>
        <v>12-Dic</v>
      </c>
    </row>
    <row r="706" spans="1:12" ht="31.2" hidden="1" x14ac:dyDescent="0.3">
      <c r="A706" s="3">
        <v>44886</v>
      </c>
      <c r="B706" s="3">
        <v>44916</v>
      </c>
      <c r="C706" s="4">
        <f t="shared" si="20"/>
        <v>-6</v>
      </c>
      <c r="D706" s="5" t="s">
        <v>489</v>
      </c>
      <c r="E706" s="5">
        <v>20600417046</v>
      </c>
      <c r="F706" s="5" t="s">
        <v>488</v>
      </c>
      <c r="G706" s="5" t="s">
        <v>46</v>
      </c>
      <c r="H706" s="5" t="s">
        <v>29</v>
      </c>
      <c r="I706" s="31">
        <v>0</v>
      </c>
      <c r="J706" s="31">
        <v>373.1</v>
      </c>
      <c r="K706" s="6" t="str">
        <f t="shared" si="21"/>
        <v>1-POR VENCER</v>
      </c>
      <c r="L706" s="7" t="str">
        <f>_xlfn.CONCAT(TEXT(MONTH(DATA[[#This Row],[FECHA DE VENCIMIENTO]]),"00"),"-",TEXT(DATA[[#This Row],[FECHA DE VENCIMIENTO]],"MMM"))</f>
        <v>12-Dic</v>
      </c>
    </row>
    <row r="707" spans="1:12" hidden="1" x14ac:dyDescent="0.3">
      <c r="A707" s="3">
        <v>44886</v>
      </c>
      <c r="B707" s="3">
        <v>44916</v>
      </c>
      <c r="C707" s="4">
        <f t="shared" si="20"/>
        <v>-6</v>
      </c>
      <c r="D707" s="5" t="s">
        <v>644</v>
      </c>
      <c r="E707" s="5">
        <v>20477335455</v>
      </c>
      <c r="F707" s="5" t="s">
        <v>645</v>
      </c>
      <c r="G707" s="5" t="s">
        <v>58</v>
      </c>
      <c r="H707" s="5" t="s">
        <v>7</v>
      </c>
      <c r="I707" s="31">
        <v>1416</v>
      </c>
      <c r="J707" s="31">
        <v>0</v>
      </c>
      <c r="K707" s="6" t="str">
        <f t="shared" si="21"/>
        <v>1-POR VENCER</v>
      </c>
      <c r="L707" s="7" t="str">
        <f>_xlfn.CONCAT(TEXT(MONTH(DATA[[#This Row],[FECHA DE VENCIMIENTO]]),"00"),"-",TEXT(DATA[[#This Row],[FECHA DE VENCIMIENTO]],"MMM"))</f>
        <v>12-Dic</v>
      </c>
    </row>
    <row r="708" spans="1:12" hidden="1" x14ac:dyDescent="0.3">
      <c r="A708" s="3">
        <v>44886</v>
      </c>
      <c r="B708" s="3">
        <v>44916</v>
      </c>
      <c r="C708" s="4">
        <f t="shared" ref="C708:C771" si="22">$E$2-B708</f>
        <v>-6</v>
      </c>
      <c r="D708" s="5" t="s">
        <v>654</v>
      </c>
      <c r="E708" s="5">
        <v>20480687401</v>
      </c>
      <c r="F708" s="5" t="s">
        <v>655</v>
      </c>
      <c r="G708" s="5" t="s">
        <v>58</v>
      </c>
      <c r="H708" s="5" t="s">
        <v>7</v>
      </c>
      <c r="I708" s="31">
        <v>8212.7999999999993</v>
      </c>
      <c r="J708" s="31">
        <v>0</v>
      </c>
      <c r="K708" s="6" t="str">
        <f t="shared" ref="K708:K771" si="23">IF(C708&gt;180,"180 &lt;= 360 DIAS",IF(C708&gt;90,"90 &lt;= 180 DIAS",IF(C708&gt;60,"60 &lt;= 90 DIAS",IF(C708&gt;30,"30 &lt;= 60 DIAS",IF(C708&gt;15,"15 &lt;= 30 DIAS","1-POR VENCER")))))</f>
        <v>1-POR VENCER</v>
      </c>
      <c r="L708" s="7" t="str">
        <f>_xlfn.CONCAT(TEXT(MONTH(DATA[[#This Row],[FECHA DE VENCIMIENTO]]),"00"),"-",TEXT(DATA[[#This Row],[FECHA DE VENCIMIENTO]],"MMM"))</f>
        <v>12-Dic</v>
      </c>
    </row>
    <row r="709" spans="1:12" hidden="1" x14ac:dyDescent="0.3">
      <c r="A709" s="3">
        <v>44886</v>
      </c>
      <c r="B709" s="3">
        <v>44916</v>
      </c>
      <c r="C709" s="4">
        <f t="shared" si="22"/>
        <v>-6</v>
      </c>
      <c r="D709" s="5" t="s">
        <v>662</v>
      </c>
      <c r="E709" s="5">
        <v>20132100552</v>
      </c>
      <c r="F709" s="5" t="s">
        <v>660</v>
      </c>
      <c r="G709" s="5" t="s">
        <v>58</v>
      </c>
      <c r="H709" s="5" t="s">
        <v>7</v>
      </c>
      <c r="I709" s="31">
        <v>3079.8</v>
      </c>
      <c r="J709" s="31">
        <v>0</v>
      </c>
      <c r="K709" s="6" t="str">
        <f t="shared" si="23"/>
        <v>1-POR VENCER</v>
      </c>
      <c r="L709" s="7" t="str">
        <f>_xlfn.CONCAT(TEXT(MONTH(DATA[[#This Row],[FECHA DE VENCIMIENTO]]),"00"),"-",TEXT(DATA[[#This Row],[FECHA DE VENCIMIENTO]],"MMM"))</f>
        <v>12-Dic</v>
      </c>
    </row>
    <row r="710" spans="1:12" hidden="1" x14ac:dyDescent="0.3">
      <c r="A710" s="3">
        <v>44886</v>
      </c>
      <c r="B710" s="3">
        <v>44916</v>
      </c>
      <c r="C710" s="4">
        <f t="shared" si="22"/>
        <v>-6</v>
      </c>
      <c r="D710" s="5" t="s">
        <v>663</v>
      </c>
      <c r="E710" s="5">
        <v>20132100552</v>
      </c>
      <c r="F710" s="5" t="s">
        <v>660</v>
      </c>
      <c r="G710" s="5" t="s">
        <v>58</v>
      </c>
      <c r="H710" s="5" t="s">
        <v>7</v>
      </c>
      <c r="I710" s="31">
        <v>1909.71</v>
      </c>
      <c r="J710" s="31">
        <v>0</v>
      </c>
      <c r="K710" s="6" t="str">
        <f t="shared" si="23"/>
        <v>1-POR VENCER</v>
      </c>
      <c r="L710" s="7" t="str">
        <f>_xlfn.CONCAT(TEXT(MONTH(DATA[[#This Row],[FECHA DE VENCIMIENTO]]),"00"),"-",TEXT(DATA[[#This Row],[FECHA DE VENCIMIENTO]],"MMM"))</f>
        <v>12-Dic</v>
      </c>
    </row>
    <row r="711" spans="1:12" hidden="1" x14ac:dyDescent="0.3">
      <c r="A711" s="3">
        <v>44886</v>
      </c>
      <c r="B711" s="3">
        <v>44916</v>
      </c>
      <c r="C711" s="4">
        <f t="shared" si="22"/>
        <v>-6</v>
      </c>
      <c r="D711" s="5" t="s">
        <v>664</v>
      </c>
      <c r="E711" s="5">
        <v>20132100552</v>
      </c>
      <c r="F711" s="5" t="s">
        <v>660</v>
      </c>
      <c r="G711" s="5" t="s">
        <v>58</v>
      </c>
      <c r="H711" s="5" t="s">
        <v>29</v>
      </c>
      <c r="I711" s="31">
        <v>0</v>
      </c>
      <c r="J711" s="31">
        <v>17520.64</v>
      </c>
      <c r="K711" s="6" t="str">
        <f t="shared" si="23"/>
        <v>1-POR VENCER</v>
      </c>
      <c r="L711" s="7" t="str">
        <f>_xlfn.CONCAT(TEXT(MONTH(DATA[[#This Row],[FECHA DE VENCIMIENTO]]),"00"),"-",TEXT(DATA[[#This Row],[FECHA DE VENCIMIENTO]],"MMM"))</f>
        <v>12-Dic</v>
      </c>
    </row>
    <row r="712" spans="1:12" hidden="1" x14ac:dyDescent="0.3">
      <c r="A712" s="3">
        <v>44886</v>
      </c>
      <c r="B712" s="3">
        <v>44916</v>
      </c>
      <c r="C712" s="4">
        <f t="shared" si="22"/>
        <v>-6</v>
      </c>
      <c r="D712" s="5" t="s">
        <v>695</v>
      </c>
      <c r="E712" s="5">
        <v>20563407426</v>
      </c>
      <c r="F712" s="5" t="s">
        <v>694</v>
      </c>
      <c r="G712" s="5" t="s">
        <v>13</v>
      </c>
      <c r="H712" s="5" t="s">
        <v>7</v>
      </c>
      <c r="I712" s="31">
        <v>8496</v>
      </c>
      <c r="J712" s="31">
        <v>0</v>
      </c>
      <c r="K712" s="6" t="str">
        <f t="shared" si="23"/>
        <v>1-POR VENCER</v>
      </c>
      <c r="L712" s="7" t="str">
        <f>_xlfn.CONCAT(TEXT(MONTH(DATA[[#This Row],[FECHA DE VENCIMIENTO]]),"00"),"-",TEXT(DATA[[#This Row],[FECHA DE VENCIMIENTO]],"MMM"))</f>
        <v>12-Dic</v>
      </c>
    </row>
    <row r="713" spans="1:12" hidden="1" x14ac:dyDescent="0.3">
      <c r="A713" s="3">
        <v>44886</v>
      </c>
      <c r="B713" s="3">
        <v>44916</v>
      </c>
      <c r="C713" s="4">
        <f t="shared" si="22"/>
        <v>-6</v>
      </c>
      <c r="D713" s="5" t="s">
        <v>837</v>
      </c>
      <c r="E713" s="5">
        <v>20550756031</v>
      </c>
      <c r="F713" s="5" t="s">
        <v>836</v>
      </c>
      <c r="G713" s="5" t="s">
        <v>16</v>
      </c>
      <c r="H713" s="5" t="s">
        <v>29</v>
      </c>
      <c r="I713" s="31">
        <v>0</v>
      </c>
      <c r="J713" s="31">
        <v>280.55</v>
      </c>
      <c r="K713" s="6" t="str">
        <f t="shared" si="23"/>
        <v>1-POR VENCER</v>
      </c>
      <c r="L713" s="7" t="str">
        <f>_xlfn.CONCAT(TEXT(MONTH(DATA[[#This Row],[FECHA DE VENCIMIENTO]]),"00"),"-",TEXT(DATA[[#This Row],[FECHA DE VENCIMIENTO]],"MMM"))</f>
        <v>12-Dic</v>
      </c>
    </row>
    <row r="714" spans="1:12" hidden="1" x14ac:dyDescent="0.3">
      <c r="A714" s="3">
        <v>44886</v>
      </c>
      <c r="B714" s="3">
        <v>44916</v>
      </c>
      <c r="C714" s="4">
        <f t="shared" si="22"/>
        <v>-6</v>
      </c>
      <c r="D714" s="5" t="s">
        <v>958</v>
      </c>
      <c r="E714" s="5">
        <v>20534627310</v>
      </c>
      <c r="F714" s="5" t="s">
        <v>957</v>
      </c>
      <c r="G714" s="5" t="s">
        <v>13</v>
      </c>
      <c r="H714" s="5" t="s">
        <v>7</v>
      </c>
      <c r="I714" s="31">
        <v>4256.43</v>
      </c>
      <c r="J714" s="31">
        <v>0</v>
      </c>
      <c r="K714" s="6" t="str">
        <f t="shared" si="23"/>
        <v>1-POR VENCER</v>
      </c>
      <c r="L714" s="7" t="str">
        <f>_xlfn.CONCAT(TEXT(MONTH(DATA[[#This Row],[FECHA DE VENCIMIENTO]]),"00"),"-",TEXT(DATA[[#This Row],[FECHA DE VENCIMIENTO]],"MMM"))</f>
        <v>12-Dic</v>
      </c>
    </row>
    <row r="715" spans="1:12" hidden="1" x14ac:dyDescent="0.3">
      <c r="A715" s="3">
        <v>44886</v>
      </c>
      <c r="B715" s="3">
        <v>44916</v>
      </c>
      <c r="C715" s="4">
        <f t="shared" si="22"/>
        <v>-6</v>
      </c>
      <c r="D715" s="5" t="s">
        <v>1086</v>
      </c>
      <c r="E715" s="5">
        <v>20601311110</v>
      </c>
      <c r="F715" s="5" t="s">
        <v>1084</v>
      </c>
      <c r="G715" s="5" t="s">
        <v>16</v>
      </c>
      <c r="H715" s="5" t="s">
        <v>29</v>
      </c>
      <c r="I715" s="31">
        <v>0</v>
      </c>
      <c r="J715" s="31">
        <v>206.21</v>
      </c>
      <c r="K715" s="6" t="str">
        <f t="shared" si="23"/>
        <v>1-POR VENCER</v>
      </c>
      <c r="L715" s="7" t="str">
        <f>_xlfn.CONCAT(TEXT(MONTH(DATA[[#This Row],[FECHA DE VENCIMIENTO]]),"00"),"-",TEXT(DATA[[#This Row],[FECHA DE VENCIMIENTO]],"MMM"))</f>
        <v>12-Dic</v>
      </c>
    </row>
    <row r="716" spans="1:12" hidden="1" x14ac:dyDescent="0.3">
      <c r="A716" s="3">
        <v>44886</v>
      </c>
      <c r="B716" s="3">
        <v>44916</v>
      </c>
      <c r="C716" s="4">
        <f t="shared" si="22"/>
        <v>-6</v>
      </c>
      <c r="D716" s="5" t="s">
        <v>1087</v>
      </c>
      <c r="E716" s="5">
        <v>20131589086</v>
      </c>
      <c r="F716" s="5" t="s">
        <v>1088</v>
      </c>
      <c r="G716" s="5" t="s">
        <v>58</v>
      </c>
      <c r="H716" s="5" t="s">
        <v>29</v>
      </c>
      <c r="I716" s="31">
        <v>0</v>
      </c>
      <c r="J716" s="31">
        <v>1770</v>
      </c>
      <c r="K716" s="6" t="str">
        <f t="shared" si="23"/>
        <v>1-POR VENCER</v>
      </c>
      <c r="L716" s="7" t="str">
        <f>_xlfn.CONCAT(TEXT(MONTH(DATA[[#This Row],[FECHA DE VENCIMIENTO]]),"00"),"-",TEXT(DATA[[#This Row],[FECHA DE VENCIMIENTO]],"MMM"))</f>
        <v>12-Dic</v>
      </c>
    </row>
    <row r="717" spans="1:12" ht="31.2" hidden="1" x14ac:dyDescent="0.3">
      <c r="A717" s="3">
        <v>44886</v>
      </c>
      <c r="B717" s="3">
        <v>44916</v>
      </c>
      <c r="C717" s="4">
        <f t="shared" si="22"/>
        <v>-6</v>
      </c>
      <c r="D717" s="5" t="s">
        <v>1263</v>
      </c>
      <c r="E717" s="5">
        <v>10336744640</v>
      </c>
      <c r="F717" s="5" t="s">
        <v>1264</v>
      </c>
      <c r="G717" s="5" t="s">
        <v>46</v>
      </c>
      <c r="H717" s="5" t="s">
        <v>29</v>
      </c>
      <c r="I717" s="31">
        <v>0</v>
      </c>
      <c r="J717" s="31">
        <v>272.58</v>
      </c>
      <c r="K717" s="6" t="str">
        <f t="shared" si="23"/>
        <v>1-POR VENCER</v>
      </c>
      <c r="L717" s="7" t="str">
        <f>_xlfn.CONCAT(TEXT(MONTH(DATA[[#This Row],[FECHA DE VENCIMIENTO]]),"00"),"-",TEXT(DATA[[#This Row],[FECHA DE VENCIMIENTO]],"MMM"))</f>
        <v>12-Dic</v>
      </c>
    </row>
    <row r="718" spans="1:12" hidden="1" x14ac:dyDescent="0.3">
      <c r="A718" s="3">
        <v>44887</v>
      </c>
      <c r="B718" s="3">
        <v>44917</v>
      </c>
      <c r="C718" s="4">
        <f t="shared" si="22"/>
        <v>-7</v>
      </c>
      <c r="D718" s="5" t="s">
        <v>458</v>
      </c>
      <c r="E718" s="5">
        <v>20555931914</v>
      </c>
      <c r="F718" s="5" t="s">
        <v>459</v>
      </c>
      <c r="G718" s="5" t="s">
        <v>16</v>
      </c>
      <c r="H718" s="5" t="s">
        <v>29</v>
      </c>
      <c r="I718" s="31">
        <v>0</v>
      </c>
      <c r="J718" s="31">
        <v>396.48</v>
      </c>
      <c r="K718" s="6" t="str">
        <f t="shared" si="23"/>
        <v>1-POR VENCER</v>
      </c>
      <c r="L718" s="7" t="str">
        <f>_xlfn.CONCAT(TEXT(MONTH(DATA[[#This Row],[FECHA DE VENCIMIENTO]]),"00"),"-",TEXT(DATA[[#This Row],[FECHA DE VENCIMIENTO]],"MMM"))</f>
        <v>12-Dic</v>
      </c>
    </row>
    <row r="719" spans="1:12" hidden="1" x14ac:dyDescent="0.3">
      <c r="A719" s="3">
        <v>44887</v>
      </c>
      <c r="B719" s="3">
        <v>44917</v>
      </c>
      <c r="C719" s="4">
        <f t="shared" si="22"/>
        <v>-7</v>
      </c>
      <c r="D719" s="5" t="s">
        <v>462</v>
      </c>
      <c r="E719" s="5">
        <v>20555931914</v>
      </c>
      <c r="F719" s="5" t="s">
        <v>459</v>
      </c>
      <c r="G719" s="5" t="s">
        <v>16</v>
      </c>
      <c r="H719" s="5" t="s">
        <v>7</v>
      </c>
      <c r="I719" s="31">
        <v>120.08</v>
      </c>
      <c r="J719" s="31">
        <v>0</v>
      </c>
      <c r="K719" s="6" t="str">
        <f t="shared" si="23"/>
        <v>1-POR VENCER</v>
      </c>
      <c r="L719" s="7" t="str">
        <f>_xlfn.CONCAT(TEXT(MONTH(DATA[[#This Row],[FECHA DE VENCIMIENTO]]),"00"),"-",TEXT(DATA[[#This Row],[FECHA DE VENCIMIENTO]],"MMM"))</f>
        <v>12-Dic</v>
      </c>
    </row>
    <row r="720" spans="1:12" ht="31.2" hidden="1" x14ac:dyDescent="0.3">
      <c r="A720" s="3">
        <v>44887</v>
      </c>
      <c r="B720" s="3">
        <v>44917</v>
      </c>
      <c r="C720" s="4">
        <f t="shared" si="22"/>
        <v>-7</v>
      </c>
      <c r="D720" s="5" t="s">
        <v>569</v>
      </c>
      <c r="E720" s="5">
        <v>20393713322</v>
      </c>
      <c r="F720" s="5" t="s">
        <v>570</v>
      </c>
      <c r="G720" s="5" t="s">
        <v>46</v>
      </c>
      <c r="H720" s="5" t="s">
        <v>29</v>
      </c>
      <c r="I720" s="31">
        <v>0</v>
      </c>
      <c r="J720" s="31">
        <v>7080</v>
      </c>
      <c r="K720" s="6" t="str">
        <f t="shared" si="23"/>
        <v>1-POR VENCER</v>
      </c>
      <c r="L720" s="7" t="str">
        <f>_xlfn.CONCAT(TEXT(MONTH(DATA[[#This Row],[FECHA DE VENCIMIENTO]]),"00"),"-",TEXT(DATA[[#This Row],[FECHA DE VENCIMIENTO]],"MMM"))</f>
        <v>12-Dic</v>
      </c>
    </row>
    <row r="721" spans="1:12" ht="31.2" hidden="1" x14ac:dyDescent="0.3">
      <c r="A721" s="3">
        <v>44887</v>
      </c>
      <c r="B721" s="3">
        <v>44917</v>
      </c>
      <c r="C721" s="4">
        <f t="shared" si="22"/>
        <v>-7</v>
      </c>
      <c r="D721" s="5" t="s">
        <v>975</v>
      </c>
      <c r="E721" s="5">
        <v>20393719100</v>
      </c>
      <c r="F721" s="5" t="s">
        <v>976</v>
      </c>
      <c r="G721" s="5" t="s">
        <v>46</v>
      </c>
      <c r="H721" s="5" t="s">
        <v>29</v>
      </c>
      <c r="I721" s="31">
        <v>0</v>
      </c>
      <c r="J721" s="31">
        <v>1109.2</v>
      </c>
      <c r="K721" s="6" t="str">
        <f t="shared" si="23"/>
        <v>1-POR VENCER</v>
      </c>
      <c r="L721" s="7" t="str">
        <f>_xlfn.CONCAT(TEXT(MONTH(DATA[[#This Row],[FECHA DE VENCIMIENTO]]),"00"),"-",TEXT(DATA[[#This Row],[FECHA DE VENCIMIENTO]],"MMM"))</f>
        <v>12-Dic</v>
      </c>
    </row>
    <row r="722" spans="1:12" hidden="1" x14ac:dyDescent="0.3">
      <c r="A722" s="3">
        <v>44872</v>
      </c>
      <c r="B722" s="3">
        <v>44917</v>
      </c>
      <c r="C722" s="4">
        <f t="shared" si="22"/>
        <v>-7</v>
      </c>
      <c r="D722" s="5" t="s">
        <v>1157</v>
      </c>
      <c r="E722" s="5">
        <v>20602768512</v>
      </c>
      <c r="F722" s="5" t="s">
        <v>373</v>
      </c>
      <c r="G722" s="5" t="s">
        <v>13</v>
      </c>
      <c r="H722" s="5" t="s">
        <v>7</v>
      </c>
      <c r="I722" s="31">
        <v>6680.81</v>
      </c>
      <c r="J722" s="31">
        <v>0</v>
      </c>
      <c r="K722" s="6" t="str">
        <f t="shared" si="23"/>
        <v>1-POR VENCER</v>
      </c>
      <c r="L722" s="7" t="str">
        <f>_xlfn.CONCAT(TEXT(MONTH(DATA[[#This Row],[FECHA DE VENCIMIENTO]]),"00"),"-",TEXT(DATA[[#This Row],[FECHA DE VENCIMIENTO]],"MMM"))</f>
        <v>12-Dic</v>
      </c>
    </row>
    <row r="723" spans="1:12" hidden="1" x14ac:dyDescent="0.3">
      <c r="A723" s="3">
        <v>44888</v>
      </c>
      <c r="B723" s="3">
        <v>44918</v>
      </c>
      <c r="C723" s="4">
        <f t="shared" si="22"/>
        <v>-8</v>
      </c>
      <c r="D723" s="5" t="s">
        <v>635</v>
      </c>
      <c r="E723" s="5">
        <v>20609301121</v>
      </c>
      <c r="F723" s="5" t="s">
        <v>631</v>
      </c>
      <c r="G723" s="5" t="s">
        <v>16</v>
      </c>
      <c r="H723" s="5" t="s">
        <v>7</v>
      </c>
      <c r="I723" s="31">
        <v>10030</v>
      </c>
      <c r="J723" s="31">
        <v>0</v>
      </c>
      <c r="K723" s="6" t="str">
        <f t="shared" si="23"/>
        <v>1-POR VENCER</v>
      </c>
      <c r="L723" s="7" t="str">
        <f>_xlfn.CONCAT(TEXT(MONTH(DATA[[#This Row],[FECHA DE VENCIMIENTO]]),"00"),"-",TEXT(DATA[[#This Row],[FECHA DE VENCIMIENTO]],"MMM"))</f>
        <v>12-Dic</v>
      </c>
    </row>
    <row r="724" spans="1:12" hidden="1" x14ac:dyDescent="0.3">
      <c r="A724" s="3">
        <v>44868</v>
      </c>
      <c r="B724" s="3">
        <v>44918</v>
      </c>
      <c r="C724" s="4">
        <f t="shared" si="22"/>
        <v>-8</v>
      </c>
      <c r="D724" s="5" t="s">
        <v>652</v>
      </c>
      <c r="E724" s="5">
        <v>20455708193</v>
      </c>
      <c r="F724" s="5" t="s">
        <v>653</v>
      </c>
      <c r="G724" s="5" t="s">
        <v>33</v>
      </c>
      <c r="H724" s="5" t="s">
        <v>29</v>
      </c>
      <c r="I724" s="31">
        <v>0</v>
      </c>
      <c r="J724" s="31">
        <v>717.9</v>
      </c>
      <c r="K724" s="6" t="str">
        <f t="shared" si="23"/>
        <v>1-POR VENCER</v>
      </c>
      <c r="L724" s="7" t="str">
        <f>_xlfn.CONCAT(TEXT(MONTH(DATA[[#This Row],[FECHA DE VENCIMIENTO]]),"00"),"-",TEXT(DATA[[#This Row],[FECHA DE VENCIMIENTO]],"MMM"))</f>
        <v>12-Dic</v>
      </c>
    </row>
    <row r="725" spans="1:12" hidden="1" x14ac:dyDescent="0.3">
      <c r="A725" s="3">
        <v>44888</v>
      </c>
      <c r="B725" s="3">
        <v>44918</v>
      </c>
      <c r="C725" s="4">
        <f t="shared" si="22"/>
        <v>-8</v>
      </c>
      <c r="D725" s="5" t="s">
        <v>719</v>
      </c>
      <c r="E725" s="5">
        <v>20559155391</v>
      </c>
      <c r="F725" s="5" t="s">
        <v>720</v>
      </c>
      <c r="G725" s="5" t="s">
        <v>33</v>
      </c>
      <c r="H725" s="5" t="s">
        <v>29</v>
      </c>
      <c r="I725" s="31">
        <v>0</v>
      </c>
      <c r="J725" s="31">
        <v>304.44</v>
      </c>
      <c r="K725" s="6" t="str">
        <f t="shared" si="23"/>
        <v>1-POR VENCER</v>
      </c>
      <c r="L725" s="7" t="str">
        <f>_xlfn.CONCAT(TEXT(MONTH(DATA[[#This Row],[FECHA DE VENCIMIENTO]]),"00"),"-",TEXT(DATA[[#This Row],[FECHA DE VENCIMIENTO]],"MMM"))</f>
        <v>12-Dic</v>
      </c>
    </row>
    <row r="726" spans="1:12" hidden="1" x14ac:dyDescent="0.3">
      <c r="A726" s="3">
        <v>44858</v>
      </c>
      <c r="B726" s="3">
        <v>44918</v>
      </c>
      <c r="C726" s="4">
        <f t="shared" si="22"/>
        <v>-8</v>
      </c>
      <c r="D726" s="5" t="s">
        <v>740</v>
      </c>
      <c r="E726" s="5">
        <v>20506421781</v>
      </c>
      <c r="F726" s="5" t="s">
        <v>735</v>
      </c>
      <c r="G726" s="5" t="s">
        <v>33</v>
      </c>
      <c r="H726" s="5" t="s">
        <v>29</v>
      </c>
      <c r="I726" s="31">
        <v>0</v>
      </c>
      <c r="J726" s="31">
        <v>6938.4</v>
      </c>
      <c r="K726" s="6" t="str">
        <f t="shared" si="23"/>
        <v>1-POR VENCER</v>
      </c>
      <c r="L726" s="7" t="str">
        <f>_xlfn.CONCAT(TEXT(MONTH(DATA[[#This Row],[FECHA DE VENCIMIENTO]]),"00"),"-",TEXT(DATA[[#This Row],[FECHA DE VENCIMIENTO]],"MMM"))</f>
        <v>12-Dic</v>
      </c>
    </row>
    <row r="727" spans="1:12" ht="31.2" hidden="1" x14ac:dyDescent="0.3">
      <c r="A727" s="3">
        <v>44858</v>
      </c>
      <c r="B727" s="3">
        <v>44918</v>
      </c>
      <c r="C727" s="4">
        <f t="shared" si="22"/>
        <v>-8</v>
      </c>
      <c r="D727" s="5" t="s">
        <v>785</v>
      </c>
      <c r="E727" s="5">
        <v>20451060393</v>
      </c>
      <c r="F727" s="5" t="s">
        <v>786</v>
      </c>
      <c r="G727" s="5" t="s">
        <v>46</v>
      </c>
      <c r="H727" s="5" t="s">
        <v>29</v>
      </c>
      <c r="I727" s="31">
        <v>0</v>
      </c>
      <c r="J727" s="31">
        <v>1201.83</v>
      </c>
      <c r="K727" s="6" t="str">
        <f t="shared" si="23"/>
        <v>1-POR VENCER</v>
      </c>
      <c r="L727" s="7" t="str">
        <f>_xlfn.CONCAT(TEXT(MONTH(DATA[[#This Row],[FECHA DE VENCIMIENTO]]),"00"),"-",TEXT(DATA[[#This Row],[FECHA DE VENCIMIENTO]],"MMM"))</f>
        <v>12-Dic</v>
      </c>
    </row>
    <row r="728" spans="1:12" hidden="1" x14ac:dyDescent="0.3">
      <c r="A728" s="3">
        <v>44873</v>
      </c>
      <c r="B728" s="3">
        <v>44918</v>
      </c>
      <c r="C728" s="4">
        <f t="shared" si="22"/>
        <v>-8</v>
      </c>
      <c r="D728" s="5" t="s">
        <v>798</v>
      </c>
      <c r="E728" s="5">
        <v>20492252299</v>
      </c>
      <c r="F728" s="5" t="s">
        <v>799</v>
      </c>
      <c r="G728" s="5" t="s">
        <v>33</v>
      </c>
      <c r="H728" s="5" t="s">
        <v>7</v>
      </c>
      <c r="I728" s="31">
        <v>5192</v>
      </c>
      <c r="J728" s="31">
        <v>0</v>
      </c>
      <c r="K728" s="6" t="str">
        <f t="shared" si="23"/>
        <v>1-POR VENCER</v>
      </c>
      <c r="L728" s="7" t="str">
        <f>_xlfn.CONCAT(TEXT(MONTH(DATA[[#This Row],[FECHA DE VENCIMIENTO]]),"00"),"-",TEXT(DATA[[#This Row],[FECHA DE VENCIMIENTO]],"MMM"))</f>
        <v>12-Dic</v>
      </c>
    </row>
    <row r="729" spans="1:12" hidden="1" x14ac:dyDescent="0.3">
      <c r="A729" s="3">
        <v>44873</v>
      </c>
      <c r="B729" s="3">
        <v>44918</v>
      </c>
      <c r="C729" s="4">
        <f t="shared" si="22"/>
        <v>-8</v>
      </c>
      <c r="D729" s="5" t="s">
        <v>865</v>
      </c>
      <c r="E729" s="5">
        <v>20534406496</v>
      </c>
      <c r="F729" s="5" t="s">
        <v>359</v>
      </c>
      <c r="G729" s="5" t="s">
        <v>13</v>
      </c>
      <c r="H729" s="5" t="s">
        <v>29</v>
      </c>
      <c r="I729" s="31">
        <v>0</v>
      </c>
      <c r="J729" s="31">
        <v>231.28</v>
      </c>
      <c r="K729" s="6" t="str">
        <f t="shared" si="23"/>
        <v>1-POR VENCER</v>
      </c>
      <c r="L729" s="7" t="str">
        <f>_xlfn.CONCAT(TEXT(MONTH(DATA[[#This Row],[FECHA DE VENCIMIENTO]]),"00"),"-",TEXT(DATA[[#This Row],[FECHA DE VENCIMIENTO]],"MMM"))</f>
        <v>12-Dic</v>
      </c>
    </row>
    <row r="730" spans="1:12" hidden="1" x14ac:dyDescent="0.3">
      <c r="A730" s="3">
        <v>44858</v>
      </c>
      <c r="B730" s="3">
        <v>44918</v>
      </c>
      <c r="C730" s="4">
        <f t="shared" si="22"/>
        <v>-8</v>
      </c>
      <c r="D730" s="5" t="s">
        <v>878</v>
      </c>
      <c r="E730" s="5">
        <v>20506322708</v>
      </c>
      <c r="F730" s="5" t="s">
        <v>873</v>
      </c>
      <c r="G730" s="5" t="s">
        <v>13</v>
      </c>
      <c r="H730" s="5" t="s">
        <v>29</v>
      </c>
      <c r="I730" s="31">
        <v>0</v>
      </c>
      <c r="J730" s="31">
        <v>733.2</v>
      </c>
      <c r="K730" s="6" t="str">
        <f t="shared" si="23"/>
        <v>1-POR VENCER</v>
      </c>
      <c r="L730" s="7" t="str">
        <f>_xlfn.CONCAT(TEXT(MONTH(DATA[[#This Row],[FECHA DE VENCIMIENTO]]),"00"),"-",TEXT(DATA[[#This Row],[FECHA DE VENCIMIENTO]],"MMM"))</f>
        <v>12-Dic</v>
      </c>
    </row>
    <row r="731" spans="1:12" ht="31.2" hidden="1" x14ac:dyDescent="0.3">
      <c r="A731" s="3">
        <v>44888</v>
      </c>
      <c r="B731" s="3">
        <v>44918</v>
      </c>
      <c r="C731" s="4">
        <f t="shared" si="22"/>
        <v>-8</v>
      </c>
      <c r="D731" s="5" t="s">
        <v>899</v>
      </c>
      <c r="E731" s="5">
        <v>20602674488</v>
      </c>
      <c r="F731" s="5" t="s">
        <v>898</v>
      </c>
      <c r="G731" s="5" t="s">
        <v>46</v>
      </c>
      <c r="H731" s="5" t="s">
        <v>29</v>
      </c>
      <c r="I731" s="31">
        <v>0</v>
      </c>
      <c r="J731" s="31">
        <v>927.01</v>
      </c>
      <c r="K731" s="6" t="str">
        <f t="shared" si="23"/>
        <v>1-POR VENCER</v>
      </c>
      <c r="L731" s="7" t="str">
        <f>_xlfn.CONCAT(TEXT(MONTH(DATA[[#This Row],[FECHA DE VENCIMIENTO]]),"00"),"-",TEXT(DATA[[#This Row],[FECHA DE VENCIMIENTO]],"MMM"))</f>
        <v>12-Dic</v>
      </c>
    </row>
    <row r="732" spans="1:12" hidden="1" x14ac:dyDescent="0.3">
      <c r="A732" s="3">
        <v>44888</v>
      </c>
      <c r="B732" s="3">
        <v>44918</v>
      </c>
      <c r="C732" s="4">
        <f t="shared" si="22"/>
        <v>-8</v>
      </c>
      <c r="D732" s="5" t="s">
        <v>945</v>
      </c>
      <c r="E732" s="5">
        <v>20455732574</v>
      </c>
      <c r="F732" s="5" t="s">
        <v>351</v>
      </c>
      <c r="G732" s="5" t="s">
        <v>33</v>
      </c>
      <c r="H732" s="5" t="s">
        <v>7</v>
      </c>
      <c r="I732" s="31">
        <v>1515.77</v>
      </c>
      <c r="J732" s="31">
        <v>0</v>
      </c>
      <c r="K732" s="6" t="str">
        <f t="shared" si="23"/>
        <v>1-POR VENCER</v>
      </c>
      <c r="L732" s="7" t="str">
        <f>_xlfn.CONCAT(TEXT(MONTH(DATA[[#This Row],[FECHA DE VENCIMIENTO]]),"00"),"-",TEXT(DATA[[#This Row],[FECHA DE VENCIMIENTO]],"MMM"))</f>
        <v>12-Dic</v>
      </c>
    </row>
    <row r="733" spans="1:12" hidden="1" x14ac:dyDescent="0.3">
      <c r="A733" s="3">
        <v>44858</v>
      </c>
      <c r="B733" s="3">
        <v>44918</v>
      </c>
      <c r="C733" s="4">
        <f t="shared" si="22"/>
        <v>-8</v>
      </c>
      <c r="D733" s="5" t="s">
        <v>1020</v>
      </c>
      <c r="E733" s="5">
        <v>20468261082</v>
      </c>
      <c r="F733" s="5" t="s">
        <v>161</v>
      </c>
      <c r="G733" s="5" t="s">
        <v>26</v>
      </c>
      <c r="H733" s="5" t="s">
        <v>7</v>
      </c>
      <c r="I733" s="31">
        <v>2276.9299999999998</v>
      </c>
      <c r="J733" s="31">
        <v>0</v>
      </c>
      <c r="K733" s="6" t="str">
        <f t="shared" si="23"/>
        <v>1-POR VENCER</v>
      </c>
      <c r="L733" s="7" t="str">
        <f>_xlfn.CONCAT(TEXT(MONTH(DATA[[#This Row],[FECHA DE VENCIMIENTO]]),"00"),"-",TEXT(DATA[[#This Row],[FECHA DE VENCIMIENTO]],"MMM"))</f>
        <v>12-Dic</v>
      </c>
    </row>
    <row r="734" spans="1:12" hidden="1" x14ac:dyDescent="0.3">
      <c r="A734" s="3">
        <v>44888</v>
      </c>
      <c r="B734" s="3">
        <v>44918</v>
      </c>
      <c r="C734" s="4">
        <f t="shared" si="22"/>
        <v>-8</v>
      </c>
      <c r="D734" s="5" t="s">
        <v>1036</v>
      </c>
      <c r="E734" s="5">
        <v>20468261082</v>
      </c>
      <c r="F734" s="5" t="s">
        <v>161</v>
      </c>
      <c r="G734" s="5" t="s">
        <v>26</v>
      </c>
      <c r="H734" s="5" t="s">
        <v>7</v>
      </c>
      <c r="I734" s="31">
        <v>2310.44</v>
      </c>
      <c r="J734" s="31">
        <v>0</v>
      </c>
      <c r="K734" s="6" t="str">
        <f t="shared" si="23"/>
        <v>1-POR VENCER</v>
      </c>
      <c r="L734" s="7" t="str">
        <f>_xlfn.CONCAT(TEXT(MONTH(DATA[[#This Row],[FECHA DE VENCIMIENTO]]),"00"),"-",TEXT(DATA[[#This Row],[FECHA DE VENCIMIENTO]],"MMM"))</f>
        <v>12-Dic</v>
      </c>
    </row>
    <row r="735" spans="1:12" hidden="1" x14ac:dyDescent="0.3">
      <c r="A735" s="3">
        <v>44858</v>
      </c>
      <c r="B735" s="3">
        <v>44918</v>
      </c>
      <c r="C735" s="4">
        <f t="shared" si="22"/>
        <v>-8</v>
      </c>
      <c r="D735" s="5" t="s">
        <v>1200</v>
      </c>
      <c r="E735" s="5">
        <v>20221084684</v>
      </c>
      <c r="F735" s="5" t="s">
        <v>1191</v>
      </c>
      <c r="G735" s="5" t="s">
        <v>16</v>
      </c>
      <c r="H735" s="5" t="s">
        <v>29</v>
      </c>
      <c r="I735" s="31">
        <v>0</v>
      </c>
      <c r="J735" s="31">
        <v>3398.4</v>
      </c>
      <c r="K735" s="6" t="str">
        <f t="shared" si="23"/>
        <v>1-POR VENCER</v>
      </c>
      <c r="L735" s="7" t="str">
        <f>_xlfn.CONCAT(TEXT(MONTH(DATA[[#This Row],[FECHA DE VENCIMIENTO]]),"00"),"-",TEXT(DATA[[#This Row],[FECHA DE VENCIMIENTO]],"MMM"))</f>
        <v>12-Dic</v>
      </c>
    </row>
    <row r="736" spans="1:12" hidden="1" x14ac:dyDescent="0.3">
      <c r="A736" s="3">
        <v>44858</v>
      </c>
      <c r="B736" s="3">
        <v>44918</v>
      </c>
      <c r="C736" s="4">
        <f t="shared" si="22"/>
        <v>-8</v>
      </c>
      <c r="D736" s="5" t="s">
        <v>1258</v>
      </c>
      <c r="E736" s="5">
        <v>20505120702</v>
      </c>
      <c r="F736" s="5" t="s">
        <v>1259</v>
      </c>
      <c r="G736" s="5" t="s">
        <v>58</v>
      </c>
      <c r="H736" s="5" t="s">
        <v>7</v>
      </c>
      <c r="I736" s="31">
        <v>5239.2</v>
      </c>
      <c r="J736" s="31">
        <v>0</v>
      </c>
      <c r="K736" s="6" t="str">
        <f t="shared" si="23"/>
        <v>1-POR VENCER</v>
      </c>
      <c r="L736" s="7" t="str">
        <f>_xlfn.CONCAT(TEXT(MONTH(DATA[[#This Row],[FECHA DE VENCIMIENTO]]),"00"),"-",TEXT(DATA[[#This Row],[FECHA DE VENCIMIENTO]],"MMM"))</f>
        <v>12-Dic</v>
      </c>
    </row>
    <row r="737" spans="1:12" hidden="1" x14ac:dyDescent="0.3">
      <c r="A737" s="3">
        <v>44858</v>
      </c>
      <c r="B737" s="3">
        <v>44918</v>
      </c>
      <c r="C737" s="4">
        <f t="shared" si="22"/>
        <v>-8</v>
      </c>
      <c r="D737" s="5" t="s">
        <v>1281</v>
      </c>
      <c r="E737" s="5">
        <v>20609609711</v>
      </c>
      <c r="F737" s="5" t="s">
        <v>1272</v>
      </c>
      <c r="G737" s="5" t="s">
        <v>13</v>
      </c>
      <c r="H737" s="5" t="s">
        <v>7</v>
      </c>
      <c r="I737" s="31">
        <v>12155.53</v>
      </c>
      <c r="J737" s="31">
        <v>0</v>
      </c>
      <c r="K737" s="6" t="str">
        <f t="shared" si="23"/>
        <v>1-POR VENCER</v>
      </c>
      <c r="L737" s="7" t="str">
        <f>_xlfn.CONCAT(TEXT(MONTH(DATA[[#This Row],[FECHA DE VENCIMIENTO]]),"00"),"-",TEXT(DATA[[#This Row],[FECHA DE VENCIMIENTO]],"MMM"))</f>
        <v>12-Dic</v>
      </c>
    </row>
    <row r="738" spans="1:12" hidden="1" x14ac:dyDescent="0.3">
      <c r="A738" s="3">
        <v>44859</v>
      </c>
      <c r="B738" s="3">
        <v>44919</v>
      </c>
      <c r="C738" s="4">
        <f t="shared" si="22"/>
        <v>-9</v>
      </c>
      <c r="D738" s="5" t="s">
        <v>499</v>
      </c>
      <c r="E738" s="5">
        <v>20320731314</v>
      </c>
      <c r="F738" s="5" t="s">
        <v>331</v>
      </c>
      <c r="G738" s="5" t="s">
        <v>16</v>
      </c>
      <c r="H738" s="5" t="s">
        <v>29</v>
      </c>
      <c r="I738" s="31">
        <v>0</v>
      </c>
      <c r="J738" s="31">
        <v>8477.1200000000008</v>
      </c>
      <c r="K738" s="6" t="str">
        <f t="shared" si="23"/>
        <v>1-POR VENCER</v>
      </c>
      <c r="L738" s="7" t="str">
        <f>_xlfn.CONCAT(TEXT(MONTH(DATA[[#This Row],[FECHA DE VENCIMIENTO]]),"00"),"-",TEXT(DATA[[#This Row],[FECHA DE VENCIMIENTO]],"MMM"))</f>
        <v>12-Dic</v>
      </c>
    </row>
    <row r="739" spans="1:12" hidden="1" x14ac:dyDescent="0.3">
      <c r="A739" s="3">
        <v>44889</v>
      </c>
      <c r="B739" s="3">
        <v>44919</v>
      </c>
      <c r="C739" s="4">
        <f t="shared" si="22"/>
        <v>-9</v>
      </c>
      <c r="D739" s="5" t="s">
        <v>501</v>
      </c>
      <c r="E739" s="5">
        <v>20320731314</v>
      </c>
      <c r="F739" s="5" t="s">
        <v>331</v>
      </c>
      <c r="G739" s="5" t="s">
        <v>16</v>
      </c>
      <c r="H739" s="5" t="s">
        <v>7</v>
      </c>
      <c r="I739" s="31">
        <v>35400</v>
      </c>
      <c r="J739" s="31">
        <v>0</v>
      </c>
      <c r="K739" s="6" t="str">
        <f t="shared" si="23"/>
        <v>1-POR VENCER</v>
      </c>
      <c r="L739" s="7" t="str">
        <f>_xlfn.CONCAT(TEXT(MONTH(DATA[[#This Row],[FECHA DE VENCIMIENTO]]),"00"),"-",TEXT(DATA[[#This Row],[FECHA DE VENCIMIENTO]],"MMM"))</f>
        <v>12-Dic</v>
      </c>
    </row>
    <row r="740" spans="1:12" hidden="1" x14ac:dyDescent="0.3">
      <c r="A740" s="3">
        <v>44889</v>
      </c>
      <c r="B740" s="3">
        <v>44919</v>
      </c>
      <c r="C740" s="4">
        <f t="shared" si="22"/>
        <v>-9</v>
      </c>
      <c r="D740" s="5" t="s">
        <v>543</v>
      </c>
      <c r="E740" s="5">
        <v>20104508023</v>
      </c>
      <c r="F740" s="5" t="s">
        <v>540</v>
      </c>
      <c r="G740" s="5" t="s">
        <v>13</v>
      </c>
      <c r="H740" s="5" t="s">
        <v>7</v>
      </c>
      <c r="I740" s="31">
        <v>13238.64</v>
      </c>
      <c r="J740" s="31">
        <v>0</v>
      </c>
      <c r="K740" s="6" t="str">
        <f t="shared" si="23"/>
        <v>1-POR VENCER</v>
      </c>
      <c r="L740" s="7" t="str">
        <f>_xlfn.CONCAT(TEXT(MONTH(DATA[[#This Row],[FECHA DE VENCIMIENTO]]),"00"),"-",TEXT(DATA[[#This Row],[FECHA DE VENCIMIENTO]],"MMM"))</f>
        <v>12-Dic</v>
      </c>
    </row>
    <row r="741" spans="1:12" hidden="1" x14ac:dyDescent="0.3">
      <c r="A741" s="3">
        <v>44859</v>
      </c>
      <c r="B741" s="3">
        <v>44919</v>
      </c>
      <c r="C741" s="4">
        <f t="shared" si="22"/>
        <v>-9</v>
      </c>
      <c r="D741" s="5" t="s">
        <v>567</v>
      </c>
      <c r="E741" s="5">
        <v>20440365095</v>
      </c>
      <c r="F741" s="5" t="s">
        <v>568</v>
      </c>
      <c r="G741" s="5" t="s">
        <v>58</v>
      </c>
      <c r="H741" s="5" t="s">
        <v>29</v>
      </c>
      <c r="I741" s="31">
        <v>0</v>
      </c>
      <c r="J741" s="31">
        <v>3379.52</v>
      </c>
      <c r="K741" s="6" t="str">
        <f t="shared" si="23"/>
        <v>1-POR VENCER</v>
      </c>
      <c r="L741" s="7" t="str">
        <f>_xlfn.CONCAT(TEXT(MONTH(DATA[[#This Row],[FECHA DE VENCIMIENTO]]),"00"),"-",TEXT(DATA[[#This Row],[FECHA DE VENCIMIENTO]],"MMM"))</f>
        <v>12-Dic</v>
      </c>
    </row>
    <row r="742" spans="1:12" hidden="1" x14ac:dyDescent="0.3">
      <c r="A742" s="3">
        <v>44889</v>
      </c>
      <c r="B742" s="3">
        <v>44919</v>
      </c>
      <c r="C742" s="4">
        <f t="shared" si="22"/>
        <v>-9</v>
      </c>
      <c r="D742" s="5" t="s">
        <v>892</v>
      </c>
      <c r="E742" s="5">
        <v>20136241789</v>
      </c>
      <c r="F742" s="5" t="s">
        <v>889</v>
      </c>
      <c r="G742" s="5" t="s">
        <v>33</v>
      </c>
      <c r="H742" s="5" t="s">
        <v>29</v>
      </c>
      <c r="I742" s="31">
        <v>0</v>
      </c>
      <c r="J742" s="31">
        <v>1687.4</v>
      </c>
      <c r="K742" s="6" t="str">
        <f t="shared" si="23"/>
        <v>1-POR VENCER</v>
      </c>
      <c r="L742" s="7" t="str">
        <f>_xlfn.CONCAT(TEXT(MONTH(DATA[[#This Row],[FECHA DE VENCIMIENTO]]),"00"),"-",TEXT(DATA[[#This Row],[FECHA DE VENCIMIENTO]],"MMM"))</f>
        <v>12-Dic</v>
      </c>
    </row>
    <row r="743" spans="1:12" ht="31.2" hidden="1" x14ac:dyDescent="0.3">
      <c r="A743" s="3">
        <v>44889</v>
      </c>
      <c r="B743" s="3">
        <v>44919</v>
      </c>
      <c r="C743" s="4">
        <f t="shared" si="22"/>
        <v>-9</v>
      </c>
      <c r="D743" s="5" t="s">
        <v>897</v>
      </c>
      <c r="E743" s="5">
        <v>20602674488</v>
      </c>
      <c r="F743" s="5" t="s">
        <v>898</v>
      </c>
      <c r="G743" s="5" t="s">
        <v>46</v>
      </c>
      <c r="H743" s="5" t="s">
        <v>7</v>
      </c>
      <c r="I743" s="31">
        <v>3044.4</v>
      </c>
      <c r="J743" s="31">
        <v>0</v>
      </c>
      <c r="K743" s="6" t="str">
        <f t="shared" si="23"/>
        <v>1-POR VENCER</v>
      </c>
      <c r="L743" s="7" t="str">
        <f>_xlfn.CONCAT(TEXT(MONTH(DATA[[#This Row],[FECHA DE VENCIMIENTO]]),"00"),"-",TEXT(DATA[[#This Row],[FECHA DE VENCIMIENTO]],"MMM"))</f>
        <v>12-Dic</v>
      </c>
    </row>
    <row r="744" spans="1:12" hidden="1" x14ac:dyDescent="0.3">
      <c r="A744" s="3">
        <v>44889</v>
      </c>
      <c r="B744" s="3">
        <v>44919</v>
      </c>
      <c r="C744" s="4">
        <f t="shared" si="22"/>
        <v>-9</v>
      </c>
      <c r="D744" s="5" t="s">
        <v>999</v>
      </c>
      <c r="E744" s="5">
        <v>20600272200</v>
      </c>
      <c r="F744" s="5" t="s">
        <v>998</v>
      </c>
      <c r="G744" s="5" t="s">
        <v>33</v>
      </c>
      <c r="H744" s="5" t="s">
        <v>29</v>
      </c>
      <c r="I744" s="31">
        <v>0</v>
      </c>
      <c r="J744" s="31">
        <v>236</v>
      </c>
      <c r="K744" s="6" t="str">
        <f t="shared" si="23"/>
        <v>1-POR VENCER</v>
      </c>
      <c r="L744" s="7" t="str">
        <f>_xlfn.CONCAT(TEXT(MONTH(DATA[[#This Row],[FECHA DE VENCIMIENTO]]),"00"),"-",TEXT(DATA[[#This Row],[FECHA DE VENCIMIENTO]],"MMM"))</f>
        <v>12-Dic</v>
      </c>
    </row>
    <row r="745" spans="1:12" hidden="1" x14ac:dyDescent="0.3">
      <c r="A745" s="3">
        <v>44874</v>
      </c>
      <c r="B745" s="3">
        <v>44919</v>
      </c>
      <c r="C745" s="4">
        <f t="shared" si="22"/>
        <v>-9</v>
      </c>
      <c r="D745" s="5" t="s">
        <v>1181</v>
      </c>
      <c r="E745" s="5">
        <v>20563716569</v>
      </c>
      <c r="F745" s="5" t="s">
        <v>1182</v>
      </c>
      <c r="G745" s="5" t="s">
        <v>33</v>
      </c>
      <c r="H745" s="5" t="s">
        <v>7</v>
      </c>
      <c r="I745" s="31">
        <v>28632.19</v>
      </c>
      <c r="J745" s="31">
        <v>0</v>
      </c>
      <c r="K745" s="6" t="str">
        <f t="shared" si="23"/>
        <v>1-POR VENCER</v>
      </c>
      <c r="L745" s="7" t="str">
        <f>_xlfn.CONCAT(TEXT(MONTH(DATA[[#This Row],[FECHA DE VENCIMIENTO]]),"00"),"-",TEXT(DATA[[#This Row],[FECHA DE VENCIMIENTO]],"MMM"))</f>
        <v>12-Dic</v>
      </c>
    </row>
    <row r="746" spans="1:12" hidden="1" x14ac:dyDescent="0.3">
      <c r="A746" s="3">
        <v>44859</v>
      </c>
      <c r="B746" s="3">
        <v>44919</v>
      </c>
      <c r="C746" s="4">
        <f t="shared" si="22"/>
        <v>-9</v>
      </c>
      <c r="D746" s="5" t="s">
        <v>1280</v>
      </c>
      <c r="E746" s="5">
        <v>20609609711</v>
      </c>
      <c r="F746" s="5" t="s">
        <v>1272</v>
      </c>
      <c r="G746" s="5" t="s">
        <v>13</v>
      </c>
      <c r="H746" s="5" t="s">
        <v>7</v>
      </c>
      <c r="I746" s="31">
        <v>1945.94</v>
      </c>
      <c r="J746" s="31">
        <v>0</v>
      </c>
      <c r="K746" s="6" t="str">
        <f t="shared" si="23"/>
        <v>1-POR VENCER</v>
      </c>
      <c r="L746" s="7" t="str">
        <f>_xlfn.CONCAT(TEXT(MONTH(DATA[[#This Row],[FECHA DE VENCIMIENTO]]),"00"),"-",TEXT(DATA[[#This Row],[FECHA DE VENCIMIENTO]],"MMM"))</f>
        <v>12-Dic</v>
      </c>
    </row>
    <row r="747" spans="1:12" ht="31.2" hidden="1" x14ac:dyDescent="0.3">
      <c r="A747" s="3">
        <v>44890</v>
      </c>
      <c r="B747" s="3">
        <v>44920</v>
      </c>
      <c r="C747" s="4">
        <f t="shared" si="22"/>
        <v>-10</v>
      </c>
      <c r="D747" s="5" t="s">
        <v>453</v>
      </c>
      <c r="E747" s="5">
        <v>20534760231</v>
      </c>
      <c r="F747" s="5" t="s">
        <v>454</v>
      </c>
      <c r="G747" s="5" t="s">
        <v>13</v>
      </c>
      <c r="H747" s="5" t="s">
        <v>29</v>
      </c>
      <c r="I747" s="31">
        <v>0</v>
      </c>
      <c r="J747" s="31">
        <v>2166.48</v>
      </c>
      <c r="K747" s="6" t="str">
        <f t="shared" si="23"/>
        <v>1-POR VENCER</v>
      </c>
      <c r="L747" s="7" t="str">
        <f>_xlfn.CONCAT(TEXT(MONTH(DATA[[#This Row],[FECHA DE VENCIMIENTO]]),"00"),"-",TEXT(DATA[[#This Row],[FECHA DE VENCIMIENTO]],"MMM"))</f>
        <v>12-Dic</v>
      </c>
    </row>
    <row r="748" spans="1:12" hidden="1" x14ac:dyDescent="0.3">
      <c r="A748" s="3">
        <v>44890</v>
      </c>
      <c r="B748" s="3">
        <v>44920</v>
      </c>
      <c r="C748" s="4">
        <f t="shared" si="22"/>
        <v>-10</v>
      </c>
      <c r="D748" s="5" t="s">
        <v>544</v>
      </c>
      <c r="E748" s="5">
        <v>20104508023</v>
      </c>
      <c r="F748" s="5" t="s">
        <v>540</v>
      </c>
      <c r="G748" s="5" t="s">
        <v>13</v>
      </c>
      <c r="H748" s="5" t="s">
        <v>7</v>
      </c>
      <c r="I748" s="31">
        <v>1015.58</v>
      </c>
      <c r="J748" s="31">
        <v>0</v>
      </c>
      <c r="K748" s="6" t="str">
        <f t="shared" si="23"/>
        <v>1-POR VENCER</v>
      </c>
      <c r="L748" s="7" t="str">
        <f>_xlfn.CONCAT(TEXT(MONTH(DATA[[#This Row],[FECHA DE VENCIMIENTO]]),"00"),"-",TEXT(DATA[[#This Row],[FECHA DE VENCIMIENTO]],"MMM"))</f>
        <v>12-Dic</v>
      </c>
    </row>
    <row r="749" spans="1:12" hidden="1" x14ac:dyDescent="0.3">
      <c r="A749" s="3">
        <v>44890</v>
      </c>
      <c r="B749" s="3">
        <v>44920</v>
      </c>
      <c r="C749" s="4">
        <f t="shared" si="22"/>
        <v>-10</v>
      </c>
      <c r="D749" s="5" t="s">
        <v>545</v>
      </c>
      <c r="E749" s="5">
        <v>20104508023</v>
      </c>
      <c r="F749" s="5" t="s">
        <v>540</v>
      </c>
      <c r="G749" s="5" t="s">
        <v>13</v>
      </c>
      <c r="H749" s="5" t="s">
        <v>7</v>
      </c>
      <c r="I749" s="31">
        <v>1026.5999999999999</v>
      </c>
      <c r="J749" s="31">
        <v>0</v>
      </c>
      <c r="K749" s="6" t="str">
        <f t="shared" si="23"/>
        <v>1-POR VENCER</v>
      </c>
      <c r="L749" s="7" t="str">
        <f>_xlfn.CONCAT(TEXT(MONTH(DATA[[#This Row],[FECHA DE VENCIMIENTO]]),"00"),"-",TEXT(DATA[[#This Row],[FECHA DE VENCIMIENTO]],"MMM"))</f>
        <v>12-Dic</v>
      </c>
    </row>
    <row r="750" spans="1:12" hidden="1" x14ac:dyDescent="0.3">
      <c r="A750" s="3">
        <v>44890</v>
      </c>
      <c r="B750" s="3">
        <v>44920</v>
      </c>
      <c r="C750" s="4">
        <f t="shared" si="22"/>
        <v>-10</v>
      </c>
      <c r="D750" s="5" t="s">
        <v>620</v>
      </c>
      <c r="E750" s="5">
        <v>20440126341</v>
      </c>
      <c r="F750" s="5" t="s">
        <v>621</v>
      </c>
      <c r="G750" s="5" t="s">
        <v>58</v>
      </c>
      <c r="H750" s="5" t="s">
        <v>29</v>
      </c>
      <c r="I750" s="31">
        <v>0</v>
      </c>
      <c r="J750" s="31">
        <v>354</v>
      </c>
      <c r="K750" s="6" t="str">
        <f t="shared" si="23"/>
        <v>1-POR VENCER</v>
      </c>
      <c r="L750" s="7" t="str">
        <f>_xlfn.CONCAT(TEXT(MONTH(DATA[[#This Row],[FECHA DE VENCIMIENTO]]),"00"),"-",TEXT(DATA[[#This Row],[FECHA DE VENCIMIENTO]],"MMM"))</f>
        <v>12-Dic</v>
      </c>
    </row>
    <row r="751" spans="1:12" hidden="1" x14ac:dyDescent="0.3">
      <c r="A751" s="3">
        <v>44860</v>
      </c>
      <c r="B751" s="3">
        <v>44920</v>
      </c>
      <c r="C751" s="4">
        <f t="shared" si="22"/>
        <v>-10</v>
      </c>
      <c r="D751" s="5" t="s">
        <v>629</v>
      </c>
      <c r="E751" s="5">
        <v>20487823377</v>
      </c>
      <c r="F751" s="5" t="s">
        <v>627</v>
      </c>
      <c r="G751" s="5" t="s">
        <v>58</v>
      </c>
      <c r="H751" s="5" t="s">
        <v>29</v>
      </c>
      <c r="I751" s="31">
        <v>0</v>
      </c>
      <c r="J751" s="31">
        <v>1843.75</v>
      </c>
      <c r="K751" s="6" t="str">
        <f t="shared" si="23"/>
        <v>1-POR VENCER</v>
      </c>
      <c r="L751" s="7" t="str">
        <f>_xlfn.CONCAT(TEXT(MONTH(DATA[[#This Row],[FECHA DE VENCIMIENTO]]),"00"),"-",TEXT(DATA[[#This Row],[FECHA DE VENCIMIENTO]],"MMM"))</f>
        <v>12-Dic</v>
      </c>
    </row>
    <row r="752" spans="1:12" hidden="1" x14ac:dyDescent="0.3">
      <c r="A752" s="3">
        <v>44890</v>
      </c>
      <c r="B752" s="3">
        <v>44920</v>
      </c>
      <c r="C752" s="4">
        <f t="shared" si="22"/>
        <v>-10</v>
      </c>
      <c r="D752" s="5" t="s">
        <v>656</v>
      </c>
      <c r="E752" s="5">
        <v>20480687401</v>
      </c>
      <c r="F752" s="5" t="s">
        <v>655</v>
      </c>
      <c r="G752" s="5" t="s">
        <v>58</v>
      </c>
      <c r="H752" s="5" t="s">
        <v>7</v>
      </c>
      <c r="I752" s="31">
        <v>913.32</v>
      </c>
      <c r="J752" s="31">
        <v>0</v>
      </c>
      <c r="K752" s="6" t="str">
        <f t="shared" si="23"/>
        <v>1-POR VENCER</v>
      </c>
      <c r="L752" s="7" t="str">
        <f>_xlfn.CONCAT(TEXT(MONTH(DATA[[#This Row],[FECHA DE VENCIMIENTO]]),"00"),"-",TEXT(DATA[[#This Row],[FECHA DE VENCIMIENTO]],"MMM"))</f>
        <v>12-Dic</v>
      </c>
    </row>
    <row r="753" spans="1:12" hidden="1" x14ac:dyDescent="0.3">
      <c r="A753" s="3">
        <v>44860</v>
      </c>
      <c r="B753" s="3">
        <v>44920</v>
      </c>
      <c r="C753" s="4">
        <f t="shared" si="22"/>
        <v>-10</v>
      </c>
      <c r="D753" s="5" t="s">
        <v>776</v>
      </c>
      <c r="E753" s="5">
        <v>20439320126</v>
      </c>
      <c r="F753" s="5" t="s">
        <v>777</v>
      </c>
      <c r="G753" s="5" t="s">
        <v>58</v>
      </c>
      <c r="H753" s="5" t="s">
        <v>29</v>
      </c>
      <c r="I753" s="31">
        <v>0</v>
      </c>
      <c r="J753" s="31">
        <v>314.77</v>
      </c>
      <c r="K753" s="6" t="str">
        <f t="shared" si="23"/>
        <v>1-POR VENCER</v>
      </c>
      <c r="L753" s="7" t="str">
        <f>_xlfn.CONCAT(TEXT(MONTH(DATA[[#This Row],[FECHA DE VENCIMIENTO]]),"00"),"-",TEXT(DATA[[#This Row],[FECHA DE VENCIMIENTO]],"MMM"))</f>
        <v>12-Dic</v>
      </c>
    </row>
    <row r="754" spans="1:12" ht="31.2" hidden="1" x14ac:dyDescent="0.3">
      <c r="A754" s="3">
        <v>44860</v>
      </c>
      <c r="B754" s="3">
        <v>44920</v>
      </c>
      <c r="C754" s="4">
        <f t="shared" si="22"/>
        <v>-10</v>
      </c>
      <c r="D754" s="5" t="s">
        <v>788</v>
      </c>
      <c r="E754" s="5">
        <v>20451060393</v>
      </c>
      <c r="F754" s="5" t="s">
        <v>786</v>
      </c>
      <c r="G754" s="5" t="s">
        <v>46</v>
      </c>
      <c r="H754" s="5" t="s">
        <v>29</v>
      </c>
      <c r="I754" s="31">
        <v>0</v>
      </c>
      <c r="J754" s="31">
        <v>1173.22</v>
      </c>
      <c r="K754" s="6" t="str">
        <f t="shared" si="23"/>
        <v>1-POR VENCER</v>
      </c>
      <c r="L754" s="7" t="str">
        <f>_xlfn.CONCAT(TEXT(MONTH(DATA[[#This Row],[FECHA DE VENCIMIENTO]]),"00"),"-",TEXT(DATA[[#This Row],[FECHA DE VENCIMIENTO]],"MMM"))</f>
        <v>12-Dic</v>
      </c>
    </row>
    <row r="755" spans="1:12" ht="31.2" hidden="1" x14ac:dyDescent="0.3">
      <c r="A755" s="3">
        <v>44890</v>
      </c>
      <c r="B755" s="3">
        <v>44920</v>
      </c>
      <c r="C755" s="4">
        <f t="shared" si="22"/>
        <v>-10</v>
      </c>
      <c r="D755" s="5" t="s">
        <v>934</v>
      </c>
      <c r="E755" s="5">
        <v>20533031707</v>
      </c>
      <c r="F755" s="5" t="s">
        <v>935</v>
      </c>
      <c r="G755" s="5" t="s">
        <v>33</v>
      </c>
      <c r="H755" s="5" t="s">
        <v>7</v>
      </c>
      <c r="I755" s="31">
        <v>5411.95</v>
      </c>
      <c r="J755" s="31">
        <v>0</v>
      </c>
      <c r="K755" s="6" t="str">
        <f t="shared" si="23"/>
        <v>1-POR VENCER</v>
      </c>
      <c r="L755" s="7" t="str">
        <f>_xlfn.CONCAT(TEXT(MONTH(DATA[[#This Row],[FECHA DE VENCIMIENTO]]),"00"),"-",TEXT(DATA[[#This Row],[FECHA DE VENCIMIENTO]],"MMM"))</f>
        <v>12-Dic</v>
      </c>
    </row>
    <row r="756" spans="1:12" hidden="1" x14ac:dyDescent="0.3">
      <c r="A756" s="3">
        <v>44890</v>
      </c>
      <c r="B756" s="3">
        <v>44920</v>
      </c>
      <c r="C756" s="4">
        <f t="shared" si="22"/>
        <v>-10</v>
      </c>
      <c r="D756" s="5" t="s">
        <v>1089</v>
      </c>
      <c r="E756" s="5">
        <v>20131589086</v>
      </c>
      <c r="F756" s="5" t="s">
        <v>1088</v>
      </c>
      <c r="G756" s="5" t="s">
        <v>58</v>
      </c>
      <c r="H756" s="5" t="s">
        <v>29</v>
      </c>
      <c r="I756" s="31">
        <v>0</v>
      </c>
      <c r="J756" s="31">
        <v>261.25</v>
      </c>
      <c r="K756" s="6" t="str">
        <f t="shared" si="23"/>
        <v>1-POR VENCER</v>
      </c>
      <c r="L756" s="7" t="str">
        <f>_xlfn.CONCAT(TEXT(MONTH(DATA[[#This Row],[FECHA DE VENCIMIENTO]]),"00"),"-",TEXT(DATA[[#This Row],[FECHA DE VENCIMIENTO]],"MMM"))</f>
        <v>12-Dic</v>
      </c>
    </row>
    <row r="757" spans="1:12" hidden="1" x14ac:dyDescent="0.3">
      <c r="A757" s="3">
        <v>44860</v>
      </c>
      <c r="B757" s="3">
        <v>44920</v>
      </c>
      <c r="C757" s="4">
        <f t="shared" si="22"/>
        <v>-10</v>
      </c>
      <c r="D757" s="5" t="s">
        <v>1202</v>
      </c>
      <c r="E757" s="5">
        <v>20221084684</v>
      </c>
      <c r="F757" s="5" t="s">
        <v>1191</v>
      </c>
      <c r="G757" s="5" t="s">
        <v>16</v>
      </c>
      <c r="H757" s="5" t="s">
        <v>29</v>
      </c>
      <c r="I757" s="31">
        <v>0</v>
      </c>
      <c r="J757" s="31">
        <v>10467.780000000001</v>
      </c>
      <c r="K757" s="6" t="str">
        <f t="shared" si="23"/>
        <v>1-POR VENCER</v>
      </c>
      <c r="L757" s="7" t="str">
        <f>_xlfn.CONCAT(TEXT(MONTH(DATA[[#This Row],[FECHA DE VENCIMIENTO]]),"00"),"-",TEXT(DATA[[#This Row],[FECHA DE VENCIMIENTO]],"MMM"))</f>
        <v>12-Dic</v>
      </c>
    </row>
    <row r="758" spans="1:12" hidden="1" x14ac:dyDescent="0.3">
      <c r="A758" s="3">
        <v>44890</v>
      </c>
      <c r="B758" s="3">
        <v>44920</v>
      </c>
      <c r="C758" s="4">
        <f t="shared" si="22"/>
        <v>-10</v>
      </c>
      <c r="D758" s="5" t="s">
        <v>1207</v>
      </c>
      <c r="E758" s="5">
        <v>20491358743</v>
      </c>
      <c r="F758" s="5" t="s">
        <v>1208</v>
      </c>
      <c r="G758" s="5" t="s">
        <v>13</v>
      </c>
      <c r="H758" s="5" t="s">
        <v>7</v>
      </c>
      <c r="I758" s="31">
        <v>4214.09</v>
      </c>
      <c r="J758" s="31">
        <v>0</v>
      </c>
      <c r="K758" s="6" t="str">
        <f t="shared" si="23"/>
        <v>1-POR VENCER</v>
      </c>
      <c r="L758" s="7" t="str">
        <f>_xlfn.CONCAT(TEXT(MONTH(DATA[[#This Row],[FECHA DE VENCIMIENTO]]),"00"),"-",TEXT(DATA[[#This Row],[FECHA DE VENCIMIENTO]],"MMM"))</f>
        <v>12-Dic</v>
      </c>
    </row>
    <row r="759" spans="1:12" hidden="1" x14ac:dyDescent="0.3">
      <c r="A759" s="3">
        <v>44861</v>
      </c>
      <c r="B759" s="3">
        <v>44921</v>
      </c>
      <c r="C759" s="4">
        <f t="shared" si="22"/>
        <v>-11</v>
      </c>
      <c r="D759" s="5" t="s">
        <v>1201</v>
      </c>
      <c r="E759" s="5">
        <v>20221084684</v>
      </c>
      <c r="F759" s="5" t="s">
        <v>1191</v>
      </c>
      <c r="G759" s="5" t="s">
        <v>16</v>
      </c>
      <c r="H759" s="5" t="s">
        <v>7</v>
      </c>
      <c r="I759" s="31">
        <v>226560</v>
      </c>
      <c r="J759" s="31">
        <v>0</v>
      </c>
      <c r="K759" s="6" t="str">
        <f t="shared" si="23"/>
        <v>1-POR VENCER</v>
      </c>
      <c r="L759" s="7" t="str">
        <f>_xlfn.CONCAT(TEXT(MONTH(DATA[[#This Row],[FECHA DE VENCIMIENTO]]),"00"),"-",TEXT(DATA[[#This Row],[FECHA DE VENCIMIENTO]],"MMM"))</f>
        <v>12-Dic</v>
      </c>
    </row>
    <row r="760" spans="1:12" hidden="1" x14ac:dyDescent="0.3">
      <c r="A760" s="3">
        <v>44893</v>
      </c>
      <c r="B760" s="3">
        <v>44923</v>
      </c>
      <c r="C760" s="4">
        <f t="shared" si="22"/>
        <v>-13</v>
      </c>
      <c r="D760" s="5" t="s">
        <v>546</v>
      </c>
      <c r="E760" s="5">
        <v>20104508023</v>
      </c>
      <c r="F760" s="5" t="s">
        <v>540</v>
      </c>
      <c r="G760" s="5" t="s">
        <v>13</v>
      </c>
      <c r="H760" s="5" t="s">
        <v>7</v>
      </c>
      <c r="I760" s="31">
        <v>12391.39</v>
      </c>
      <c r="J760" s="31">
        <v>0</v>
      </c>
      <c r="K760" s="6" t="str">
        <f t="shared" si="23"/>
        <v>1-POR VENCER</v>
      </c>
      <c r="L760" s="7" t="str">
        <f>_xlfn.CONCAT(TEXT(MONTH(DATA[[#This Row],[FECHA DE VENCIMIENTO]]),"00"),"-",TEXT(DATA[[#This Row],[FECHA DE VENCIMIENTO]],"MMM"))</f>
        <v>12-Dic</v>
      </c>
    </row>
    <row r="761" spans="1:12" hidden="1" x14ac:dyDescent="0.3">
      <c r="A761" s="3">
        <v>44893</v>
      </c>
      <c r="B761" s="3">
        <v>44923</v>
      </c>
      <c r="C761" s="4">
        <f t="shared" si="22"/>
        <v>-13</v>
      </c>
      <c r="D761" s="5" t="s">
        <v>547</v>
      </c>
      <c r="E761" s="5">
        <v>20104508023</v>
      </c>
      <c r="F761" s="5" t="s">
        <v>540</v>
      </c>
      <c r="G761" s="5" t="s">
        <v>13</v>
      </c>
      <c r="H761" s="5" t="s">
        <v>7</v>
      </c>
      <c r="I761" s="31">
        <v>849.03</v>
      </c>
      <c r="J761" s="31">
        <v>0</v>
      </c>
      <c r="K761" s="6" t="str">
        <f t="shared" si="23"/>
        <v>1-POR VENCER</v>
      </c>
      <c r="L761" s="7" t="str">
        <f>_xlfn.CONCAT(TEXT(MONTH(DATA[[#This Row],[FECHA DE VENCIMIENTO]]),"00"),"-",TEXT(DATA[[#This Row],[FECHA DE VENCIMIENTO]],"MMM"))</f>
        <v>12-Dic</v>
      </c>
    </row>
    <row r="762" spans="1:12" hidden="1" x14ac:dyDescent="0.3">
      <c r="A762" s="3">
        <v>44893</v>
      </c>
      <c r="B762" s="3">
        <v>44923</v>
      </c>
      <c r="C762" s="4">
        <f t="shared" si="22"/>
        <v>-13</v>
      </c>
      <c r="D762" s="5" t="s">
        <v>564</v>
      </c>
      <c r="E762" s="5">
        <v>20203252324</v>
      </c>
      <c r="F762" s="5" t="s">
        <v>565</v>
      </c>
      <c r="G762" s="5" t="s">
        <v>13</v>
      </c>
      <c r="H762" s="5" t="s">
        <v>29</v>
      </c>
      <c r="I762" s="31">
        <v>0</v>
      </c>
      <c r="J762" s="31">
        <v>830.72</v>
      </c>
      <c r="K762" s="6" t="str">
        <f t="shared" si="23"/>
        <v>1-POR VENCER</v>
      </c>
      <c r="L762" s="7" t="str">
        <f>_xlfn.CONCAT(TEXT(MONTH(DATA[[#This Row],[FECHA DE VENCIMIENTO]]),"00"),"-",TEXT(DATA[[#This Row],[FECHA DE VENCIMIENTO]],"MMM"))</f>
        <v>12-Dic</v>
      </c>
    </row>
    <row r="763" spans="1:12" hidden="1" x14ac:dyDescent="0.3">
      <c r="A763" s="3">
        <v>44893</v>
      </c>
      <c r="B763" s="3">
        <v>44923</v>
      </c>
      <c r="C763" s="4">
        <f t="shared" si="22"/>
        <v>-13</v>
      </c>
      <c r="D763" s="5" t="s">
        <v>583</v>
      </c>
      <c r="E763" s="5">
        <v>20602565786</v>
      </c>
      <c r="F763" s="5" t="s">
        <v>580</v>
      </c>
      <c r="G763" s="5" t="s">
        <v>16</v>
      </c>
      <c r="H763" s="5" t="s">
        <v>7</v>
      </c>
      <c r="I763" s="31">
        <v>1947</v>
      </c>
      <c r="J763" s="31">
        <v>0</v>
      </c>
      <c r="K763" s="6" t="str">
        <f t="shared" si="23"/>
        <v>1-POR VENCER</v>
      </c>
      <c r="L763" s="7" t="str">
        <f>_xlfn.CONCAT(TEXT(MONTH(DATA[[#This Row],[FECHA DE VENCIMIENTO]]),"00"),"-",TEXT(DATA[[#This Row],[FECHA DE VENCIMIENTO]],"MMM"))</f>
        <v>12-Dic</v>
      </c>
    </row>
    <row r="764" spans="1:12" hidden="1" x14ac:dyDescent="0.3">
      <c r="A764" s="3">
        <v>44893</v>
      </c>
      <c r="B764" s="3">
        <v>44923</v>
      </c>
      <c r="C764" s="4">
        <f t="shared" si="22"/>
        <v>-13</v>
      </c>
      <c r="D764" s="5" t="s">
        <v>657</v>
      </c>
      <c r="E764" s="5">
        <v>20525805281</v>
      </c>
      <c r="F764" s="5" t="s">
        <v>658</v>
      </c>
      <c r="G764" s="5" t="s">
        <v>58</v>
      </c>
      <c r="H764" s="5" t="s">
        <v>7</v>
      </c>
      <c r="I764" s="31">
        <v>1141.6500000000001</v>
      </c>
      <c r="J764" s="31">
        <v>0</v>
      </c>
      <c r="K764" s="6" t="str">
        <f t="shared" si="23"/>
        <v>1-POR VENCER</v>
      </c>
      <c r="L764" s="7" t="str">
        <f>_xlfn.CONCAT(TEXT(MONTH(DATA[[#This Row],[FECHA DE VENCIMIENTO]]),"00"),"-",TEXT(DATA[[#This Row],[FECHA DE VENCIMIENTO]],"MMM"))</f>
        <v>12-Dic</v>
      </c>
    </row>
    <row r="765" spans="1:12" hidden="1" x14ac:dyDescent="0.3">
      <c r="A765" s="3">
        <v>44893</v>
      </c>
      <c r="B765" s="3">
        <v>44923</v>
      </c>
      <c r="C765" s="4">
        <f t="shared" si="22"/>
        <v>-13</v>
      </c>
      <c r="D765" s="5" t="s">
        <v>716</v>
      </c>
      <c r="E765" s="5">
        <v>20604400679</v>
      </c>
      <c r="F765" s="5" t="s">
        <v>717</v>
      </c>
      <c r="G765" s="5" t="s">
        <v>16</v>
      </c>
      <c r="H765" s="5" t="s">
        <v>29</v>
      </c>
      <c r="I765" s="31">
        <v>0</v>
      </c>
      <c r="J765" s="31">
        <v>554.6</v>
      </c>
      <c r="K765" s="6" t="str">
        <f t="shared" si="23"/>
        <v>1-POR VENCER</v>
      </c>
      <c r="L765" s="7" t="str">
        <f>_xlfn.CONCAT(TEXT(MONTH(DATA[[#This Row],[FECHA DE VENCIMIENTO]]),"00"),"-",TEXT(DATA[[#This Row],[FECHA DE VENCIMIENTO]],"MMM"))</f>
        <v>12-Dic</v>
      </c>
    </row>
    <row r="766" spans="1:12" hidden="1" x14ac:dyDescent="0.3">
      <c r="A766" s="3">
        <v>44893</v>
      </c>
      <c r="B766" s="3">
        <v>44923</v>
      </c>
      <c r="C766" s="4">
        <f t="shared" si="22"/>
        <v>-13</v>
      </c>
      <c r="D766" s="5" t="s">
        <v>802</v>
      </c>
      <c r="E766" s="5">
        <v>20204844381</v>
      </c>
      <c r="F766" s="5" t="s">
        <v>801</v>
      </c>
      <c r="G766" s="5" t="s">
        <v>58</v>
      </c>
      <c r="H766" s="5" t="s">
        <v>29</v>
      </c>
      <c r="I766" s="31">
        <v>0</v>
      </c>
      <c r="J766" s="31">
        <v>2016.38</v>
      </c>
      <c r="K766" s="6" t="str">
        <f t="shared" si="23"/>
        <v>1-POR VENCER</v>
      </c>
      <c r="L766" s="7" t="str">
        <f>_xlfn.CONCAT(TEXT(MONTH(DATA[[#This Row],[FECHA DE VENCIMIENTO]]),"00"),"-",TEXT(DATA[[#This Row],[FECHA DE VENCIMIENTO]],"MMM"))</f>
        <v>12-Dic</v>
      </c>
    </row>
    <row r="767" spans="1:12" ht="31.2" hidden="1" x14ac:dyDescent="0.3">
      <c r="A767" s="3">
        <v>44893</v>
      </c>
      <c r="B767" s="3">
        <v>44923</v>
      </c>
      <c r="C767" s="4">
        <f t="shared" si="22"/>
        <v>-13</v>
      </c>
      <c r="D767" s="5" t="s">
        <v>847</v>
      </c>
      <c r="E767" s="5">
        <v>20119041148</v>
      </c>
      <c r="F767" s="5" t="s">
        <v>848</v>
      </c>
      <c r="G767" s="5" t="s">
        <v>46</v>
      </c>
      <c r="H767" s="5" t="s">
        <v>29</v>
      </c>
      <c r="I767" s="31">
        <v>0</v>
      </c>
      <c r="J767" s="31">
        <v>566.4</v>
      </c>
      <c r="K767" s="6" t="str">
        <f t="shared" si="23"/>
        <v>1-POR VENCER</v>
      </c>
      <c r="L767" s="7" t="str">
        <f>_xlfn.CONCAT(TEXT(MONTH(DATA[[#This Row],[FECHA DE VENCIMIENTO]]),"00"),"-",TEXT(DATA[[#This Row],[FECHA DE VENCIMIENTO]],"MMM"))</f>
        <v>12-Dic</v>
      </c>
    </row>
    <row r="768" spans="1:12" ht="31.2" hidden="1" x14ac:dyDescent="0.3">
      <c r="A768" s="3">
        <v>44893</v>
      </c>
      <c r="B768" s="3">
        <v>44923</v>
      </c>
      <c r="C768" s="4">
        <f t="shared" si="22"/>
        <v>-13</v>
      </c>
      <c r="D768" s="5" t="s">
        <v>893</v>
      </c>
      <c r="E768" s="5">
        <v>20486319161</v>
      </c>
      <c r="F768" s="5" t="s">
        <v>894</v>
      </c>
      <c r="G768" s="5" t="s">
        <v>46</v>
      </c>
      <c r="H768" s="5" t="s">
        <v>7</v>
      </c>
      <c r="I768" s="31">
        <v>1442.73</v>
      </c>
      <c r="J768" s="31">
        <v>0</v>
      </c>
      <c r="K768" s="6" t="str">
        <f t="shared" si="23"/>
        <v>1-POR VENCER</v>
      </c>
      <c r="L768" s="7" t="str">
        <f>_xlfn.CONCAT(TEXT(MONTH(DATA[[#This Row],[FECHA DE VENCIMIENTO]]),"00"),"-",TEXT(DATA[[#This Row],[FECHA DE VENCIMIENTO]],"MMM"))</f>
        <v>12-Dic</v>
      </c>
    </row>
    <row r="769" spans="1:12" hidden="1" x14ac:dyDescent="0.3">
      <c r="A769" s="3">
        <v>44893</v>
      </c>
      <c r="B769" s="3">
        <v>44923</v>
      </c>
      <c r="C769" s="4">
        <f t="shared" si="22"/>
        <v>-13</v>
      </c>
      <c r="D769" s="5" t="s">
        <v>895</v>
      </c>
      <c r="E769" s="5">
        <v>20475485948</v>
      </c>
      <c r="F769" s="5" t="s">
        <v>896</v>
      </c>
      <c r="G769" s="5" t="s">
        <v>16</v>
      </c>
      <c r="H769" s="5" t="s">
        <v>7</v>
      </c>
      <c r="I769" s="31">
        <v>1112.4100000000001</v>
      </c>
      <c r="J769" s="31">
        <v>0</v>
      </c>
      <c r="K769" s="6" t="str">
        <f t="shared" si="23"/>
        <v>1-POR VENCER</v>
      </c>
      <c r="L769" s="7" t="str">
        <f>_xlfn.CONCAT(TEXT(MONTH(DATA[[#This Row],[FECHA DE VENCIMIENTO]]),"00"),"-",TEXT(DATA[[#This Row],[FECHA DE VENCIMIENTO]],"MMM"))</f>
        <v>12-Dic</v>
      </c>
    </row>
    <row r="770" spans="1:12" hidden="1" x14ac:dyDescent="0.3">
      <c r="A770" s="3">
        <v>44893</v>
      </c>
      <c r="B770" s="3">
        <v>44923</v>
      </c>
      <c r="C770" s="4">
        <f t="shared" si="22"/>
        <v>-13</v>
      </c>
      <c r="D770" s="5" t="s">
        <v>943</v>
      </c>
      <c r="E770" s="5">
        <v>20193112791</v>
      </c>
      <c r="F770" s="5" t="s">
        <v>941</v>
      </c>
      <c r="G770" s="5" t="s">
        <v>33</v>
      </c>
      <c r="H770" s="5" t="s">
        <v>7</v>
      </c>
      <c r="I770" s="31">
        <v>1338.12</v>
      </c>
      <c r="J770" s="31">
        <v>0</v>
      </c>
      <c r="K770" s="6" t="str">
        <f t="shared" si="23"/>
        <v>1-POR VENCER</v>
      </c>
      <c r="L770" s="7" t="str">
        <f>_xlfn.CONCAT(TEXT(MONTH(DATA[[#This Row],[FECHA DE VENCIMIENTO]]),"00"),"-",TEXT(DATA[[#This Row],[FECHA DE VENCIMIENTO]],"MMM"))</f>
        <v>12-Dic</v>
      </c>
    </row>
    <row r="771" spans="1:12" hidden="1" x14ac:dyDescent="0.3">
      <c r="A771" s="3">
        <v>44893</v>
      </c>
      <c r="B771" s="3">
        <v>44923</v>
      </c>
      <c r="C771" s="4">
        <f t="shared" si="22"/>
        <v>-13</v>
      </c>
      <c r="D771" s="5" t="s">
        <v>1090</v>
      </c>
      <c r="E771" s="5">
        <v>20131589086</v>
      </c>
      <c r="F771" s="5" t="s">
        <v>1088</v>
      </c>
      <c r="G771" s="5" t="s">
        <v>58</v>
      </c>
      <c r="H771" s="5" t="s">
        <v>29</v>
      </c>
      <c r="I771" s="31">
        <v>0</v>
      </c>
      <c r="J771" s="31">
        <v>153.4</v>
      </c>
      <c r="K771" s="6" t="str">
        <f t="shared" si="23"/>
        <v>1-POR VENCER</v>
      </c>
      <c r="L771" s="7" t="str">
        <f>_xlfn.CONCAT(TEXT(MONTH(DATA[[#This Row],[FECHA DE VENCIMIENTO]]),"00"),"-",TEXT(DATA[[#This Row],[FECHA DE VENCIMIENTO]],"MMM"))</f>
        <v>12-Dic</v>
      </c>
    </row>
    <row r="772" spans="1:12" hidden="1" x14ac:dyDescent="0.3">
      <c r="A772" s="3">
        <v>44893</v>
      </c>
      <c r="B772" s="3">
        <v>44923</v>
      </c>
      <c r="C772" s="4">
        <f t="shared" ref="C772:C835" si="24">$E$2-B772</f>
        <v>-13</v>
      </c>
      <c r="D772" s="5" t="s">
        <v>1255</v>
      </c>
      <c r="E772" s="5">
        <v>20509090697</v>
      </c>
      <c r="F772" s="5" t="s">
        <v>1254</v>
      </c>
      <c r="G772" s="5" t="s">
        <v>16</v>
      </c>
      <c r="H772" s="5" t="s">
        <v>7</v>
      </c>
      <c r="I772" s="31">
        <v>1219.6500000000001</v>
      </c>
      <c r="J772" s="31">
        <v>0</v>
      </c>
      <c r="K772" s="6" t="str">
        <f t="shared" ref="K772:K835" si="25">IF(C772&gt;180,"180 &lt;= 360 DIAS",IF(C772&gt;90,"90 &lt;= 180 DIAS",IF(C772&gt;60,"60 &lt;= 90 DIAS",IF(C772&gt;30,"30 &lt;= 60 DIAS",IF(C772&gt;15,"15 &lt;= 30 DIAS","1-POR VENCER")))))</f>
        <v>1-POR VENCER</v>
      </c>
      <c r="L772" s="7" t="str">
        <f>_xlfn.CONCAT(TEXT(MONTH(DATA[[#This Row],[FECHA DE VENCIMIENTO]]),"00"),"-",TEXT(DATA[[#This Row],[FECHA DE VENCIMIENTO]],"MMM"))</f>
        <v>12-Dic</v>
      </c>
    </row>
    <row r="773" spans="1:12" hidden="1" x14ac:dyDescent="0.3">
      <c r="A773" s="3">
        <v>44894</v>
      </c>
      <c r="B773" s="3">
        <v>44924</v>
      </c>
      <c r="C773" s="4">
        <f t="shared" si="24"/>
        <v>-14</v>
      </c>
      <c r="D773" s="5" t="s">
        <v>465</v>
      </c>
      <c r="E773" s="5">
        <v>20510844034</v>
      </c>
      <c r="F773" s="5" t="s">
        <v>464</v>
      </c>
      <c r="G773" s="5" t="s">
        <v>13</v>
      </c>
      <c r="H773" s="5" t="s">
        <v>7</v>
      </c>
      <c r="I773" s="31">
        <v>2312.8000000000002</v>
      </c>
      <c r="J773" s="31">
        <v>0</v>
      </c>
      <c r="K773" s="6" t="str">
        <f t="shared" si="25"/>
        <v>1-POR VENCER</v>
      </c>
      <c r="L773" s="7" t="str">
        <f>_xlfn.CONCAT(TEXT(MONTH(DATA[[#This Row],[FECHA DE VENCIMIENTO]]),"00"),"-",TEXT(DATA[[#This Row],[FECHA DE VENCIMIENTO]],"MMM"))</f>
        <v>12-Dic</v>
      </c>
    </row>
    <row r="774" spans="1:12" hidden="1" x14ac:dyDescent="0.3">
      <c r="A774" s="3">
        <v>44894</v>
      </c>
      <c r="B774" s="3">
        <v>44924</v>
      </c>
      <c r="C774" s="4">
        <f t="shared" si="24"/>
        <v>-14</v>
      </c>
      <c r="D774" s="5" t="s">
        <v>466</v>
      </c>
      <c r="E774" s="5">
        <v>20510844034</v>
      </c>
      <c r="F774" s="5" t="s">
        <v>464</v>
      </c>
      <c r="G774" s="5" t="s">
        <v>13</v>
      </c>
      <c r="H774" s="5" t="s">
        <v>29</v>
      </c>
      <c r="I774" s="31">
        <v>0</v>
      </c>
      <c r="J774" s="31">
        <v>1067.9000000000001</v>
      </c>
      <c r="K774" s="6" t="str">
        <f t="shared" si="25"/>
        <v>1-POR VENCER</v>
      </c>
      <c r="L774" s="7" t="str">
        <f>_xlfn.CONCAT(TEXT(MONTH(DATA[[#This Row],[FECHA DE VENCIMIENTO]]),"00"),"-",TEXT(DATA[[#This Row],[FECHA DE VENCIMIENTO]],"MMM"))</f>
        <v>12-Dic</v>
      </c>
    </row>
    <row r="775" spans="1:12" hidden="1" x14ac:dyDescent="0.3">
      <c r="A775" s="3">
        <v>44894</v>
      </c>
      <c r="B775" s="3">
        <v>44924</v>
      </c>
      <c r="C775" s="4">
        <f t="shared" si="24"/>
        <v>-14</v>
      </c>
      <c r="D775" s="5" t="s">
        <v>472</v>
      </c>
      <c r="E775" s="5">
        <v>20571536529</v>
      </c>
      <c r="F775" s="5" t="s">
        <v>473</v>
      </c>
      <c r="G775" s="5" t="s">
        <v>16</v>
      </c>
      <c r="H775" s="5" t="s">
        <v>29</v>
      </c>
      <c r="I775" s="31">
        <v>0</v>
      </c>
      <c r="J775" s="31">
        <v>802.27</v>
      </c>
      <c r="K775" s="6" t="str">
        <f t="shared" si="25"/>
        <v>1-POR VENCER</v>
      </c>
      <c r="L775" s="7" t="str">
        <f>_xlfn.CONCAT(TEXT(MONTH(DATA[[#This Row],[FECHA DE VENCIMIENTO]]),"00"),"-",TEXT(DATA[[#This Row],[FECHA DE VENCIMIENTO]],"MMM"))</f>
        <v>12-Dic</v>
      </c>
    </row>
    <row r="776" spans="1:12" hidden="1" x14ac:dyDescent="0.3">
      <c r="A776" s="3">
        <v>44894</v>
      </c>
      <c r="B776" s="3">
        <v>44924</v>
      </c>
      <c r="C776" s="4">
        <f t="shared" si="24"/>
        <v>-14</v>
      </c>
      <c r="D776" s="5" t="s">
        <v>599</v>
      </c>
      <c r="E776" s="5">
        <v>20604602115</v>
      </c>
      <c r="F776" s="5" t="s">
        <v>600</v>
      </c>
      <c r="G776" s="5" t="s">
        <v>58</v>
      </c>
      <c r="H776" s="5" t="s">
        <v>29</v>
      </c>
      <c r="I776" s="31">
        <v>0</v>
      </c>
      <c r="J776" s="31">
        <v>218.54</v>
      </c>
      <c r="K776" s="6" t="str">
        <f t="shared" si="25"/>
        <v>1-POR VENCER</v>
      </c>
      <c r="L776" s="7" t="str">
        <f>_xlfn.CONCAT(TEXT(MONTH(DATA[[#This Row],[FECHA DE VENCIMIENTO]]),"00"),"-",TEXT(DATA[[#This Row],[FECHA DE VENCIMIENTO]],"MMM"))</f>
        <v>12-Dic</v>
      </c>
    </row>
    <row r="777" spans="1:12" hidden="1" x14ac:dyDescent="0.3">
      <c r="A777" s="3">
        <v>44894</v>
      </c>
      <c r="B777" s="3">
        <v>44924</v>
      </c>
      <c r="C777" s="4">
        <f t="shared" si="24"/>
        <v>-14</v>
      </c>
      <c r="D777" s="5" t="s">
        <v>840</v>
      </c>
      <c r="E777" s="5">
        <v>20550756031</v>
      </c>
      <c r="F777" s="5" t="s">
        <v>836</v>
      </c>
      <c r="G777" s="5" t="s">
        <v>16</v>
      </c>
      <c r="H777" s="5" t="s">
        <v>29</v>
      </c>
      <c r="I777" s="31">
        <v>0</v>
      </c>
      <c r="J777" s="31">
        <v>280.55</v>
      </c>
      <c r="K777" s="6" t="str">
        <f t="shared" si="25"/>
        <v>1-POR VENCER</v>
      </c>
      <c r="L777" s="7" t="str">
        <f>_xlfn.CONCAT(TEXT(MONTH(DATA[[#This Row],[FECHA DE VENCIMIENTO]]),"00"),"-",TEXT(DATA[[#This Row],[FECHA DE VENCIMIENTO]],"MMM"))</f>
        <v>12-Dic</v>
      </c>
    </row>
    <row r="778" spans="1:12" hidden="1" x14ac:dyDescent="0.3">
      <c r="A778" s="3">
        <v>44894</v>
      </c>
      <c r="B778" s="3">
        <v>44924</v>
      </c>
      <c r="C778" s="4">
        <f t="shared" si="24"/>
        <v>-14</v>
      </c>
      <c r="D778" s="5" t="s">
        <v>959</v>
      </c>
      <c r="E778" s="5">
        <v>20534627310</v>
      </c>
      <c r="F778" s="5" t="s">
        <v>957</v>
      </c>
      <c r="G778" s="5" t="s">
        <v>13</v>
      </c>
      <c r="H778" s="5" t="s">
        <v>7</v>
      </c>
      <c r="I778" s="31">
        <v>4082.8</v>
      </c>
      <c r="J778" s="31">
        <v>0</v>
      </c>
      <c r="K778" s="6" t="str">
        <f t="shared" si="25"/>
        <v>1-POR VENCER</v>
      </c>
      <c r="L778" s="7" t="str">
        <f>_xlfn.CONCAT(TEXT(MONTH(DATA[[#This Row],[FECHA DE VENCIMIENTO]]),"00"),"-",TEXT(DATA[[#This Row],[FECHA DE VENCIMIENTO]],"MMM"))</f>
        <v>12-Dic</v>
      </c>
    </row>
    <row r="779" spans="1:12" hidden="1" x14ac:dyDescent="0.3">
      <c r="A779" s="3">
        <v>44894</v>
      </c>
      <c r="B779" s="3">
        <v>44924</v>
      </c>
      <c r="C779" s="4">
        <f t="shared" si="24"/>
        <v>-14</v>
      </c>
      <c r="D779" s="5" t="s">
        <v>1085</v>
      </c>
      <c r="E779" s="5">
        <v>20601311110</v>
      </c>
      <c r="F779" s="5" t="s">
        <v>1084</v>
      </c>
      <c r="G779" s="5" t="s">
        <v>16</v>
      </c>
      <c r="H779" s="5" t="s">
        <v>29</v>
      </c>
      <c r="I779" s="31">
        <v>0</v>
      </c>
      <c r="J779" s="31">
        <v>206.21</v>
      </c>
      <c r="K779" s="6" t="str">
        <f t="shared" si="25"/>
        <v>1-POR VENCER</v>
      </c>
      <c r="L779" s="7" t="str">
        <f>_xlfn.CONCAT(TEXT(MONTH(DATA[[#This Row],[FECHA DE VENCIMIENTO]]),"00"),"-",TEXT(DATA[[#This Row],[FECHA DE VENCIMIENTO]],"MMM"))</f>
        <v>12-Dic</v>
      </c>
    </row>
    <row r="780" spans="1:12" hidden="1" x14ac:dyDescent="0.3">
      <c r="A780" s="3">
        <v>44894</v>
      </c>
      <c r="B780" s="3">
        <v>44924</v>
      </c>
      <c r="C780" s="4">
        <f t="shared" si="24"/>
        <v>-14</v>
      </c>
      <c r="D780" s="5" t="s">
        <v>1174</v>
      </c>
      <c r="E780" s="5">
        <v>20440324224</v>
      </c>
      <c r="F780" s="5" t="s">
        <v>1175</v>
      </c>
      <c r="G780" s="5" t="s">
        <v>58</v>
      </c>
      <c r="H780" s="5" t="s">
        <v>29</v>
      </c>
      <c r="I780" s="31">
        <v>0</v>
      </c>
      <c r="J780" s="31">
        <v>1463.2</v>
      </c>
      <c r="K780" s="6" t="str">
        <f t="shared" si="25"/>
        <v>1-POR VENCER</v>
      </c>
      <c r="L780" s="7" t="str">
        <f>_xlfn.CONCAT(TEXT(MONTH(DATA[[#This Row],[FECHA DE VENCIMIENTO]]),"00"),"-",TEXT(DATA[[#This Row],[FECHA DE VENCIMIENTO]],"MMM"))</f>
        <v>12-Dic</v>
      </c>
    </row>
    <row r="781" spans="1:12" hidden="1" x14ac:dyDescent="0.3">
      <c r="A781" s="3">
        <v>44894</v>
      </c>
      <c r="B781" s="3">
        <v>44924</v>
      </c>
      <c r="C781" s="4">
        <f t="shared" si="24"/>
        <v>-14</v>
      </c>
      <c r="D781" s="5" t="s">
        <v>1177</v>
      </c>
      <c r="E781" s="5">
        <v>20440324224</v>
      </c>
      <c r="F781" s="5" t="s">
        <v>1175</v>
      </c>
      <c r="G781" s="5" t="s">
        <v>58</v>
      </c>
      <c r="H781" s="5" t="s">
        <v>7</v>
      </c>
      <c r="I781" s="31">
        <v>3079.8</v>
      </c>
      <c r="J781" s="31">
        <v>0</v>
      </c>
      <c r="K781" s="6" t="str">
        <f t="shared" si="25"/>
        <v>1-POR VENCER</v>
      </c>
      <c r="L781" s="7" t="str">
        <f>_xlfn.CONCAT(TEXT(MONTH(DATA[[#This Row],[FECHA DE VENCIMIENTO]]),"00"),"-",TEXT(DATA[[#This Row],[FECHA DE VENCIMIENTO]],"MMM"))</f>
        <v>12-Dic</v>
      </c>
    </row>
    <row r="782" spans="1:12" hidden="1" x14ac:dyDescent="0.3">
      <c r="A782" s="3">
        <v>44895</v>
      </c>
      <c r="B782" s="3">
        <v>44925</v>
      </c>
      <c r="C782" s="4">
        <f t="shared" si="24"/>
        <v>-15</v>
      </c>
      <c r="D782" s="5" t="s">
        <v>446</v>
      </c>
      <c r="E782" s="5">
        <v>20601494095</v>
      </c>
      <c r="F782" s="5" t="s">
        <v>447</v>
      </c>
      <c r="G782" s="5" t="s">
        <v>26</v>
      </c>
      <c r="H782" s="5" t="s">
        <v>29</v>
      </c>
      <c r="I782" s="31">
        <v>0</v>
      </c>
      <c r="J782" s="31">
        <v>177</v>
      </c>
      <c r="K782" s="6" t="str">
        <f t="shared" si="25"/>
        <v>1-POR VENCER</v>
      </c>
      <c r="L782" s="7" t="str">
        <f>_xlfn.CONCAT(TEXT(MONTH(DATA[[#This Row],[FECHA DE VENCIMIENTO]]),"00"),"-",TEXT(DATA[[#This Row],[FECHA DE VENCIMIENTO]],"MMM"))</f>
        <v>12-Dic</v>
      </c>
    </row>
    <row r="783" spans="1:12" hidden="1" x14ac:dyDescent="0.3">
      <c r="A783" s="3">
        <v>44895</v>
      </c>
      <c r="B783" s="3">
        <v>44925</v>
      </c>
      <c r="C783" s="4">
        <f t="shared" si="24"/>
        <v>-15</v>
      </c>
      <c r="D783" s="5" t="s">
        <v>450</v>
      </c>
      <c r="E783" s="5">
        <v>20601494095</v>
      </c>
      <c r="F783" s="5" t="s">
        <v>447</v>
      </c>
      <c r="G783" s="5" t="s">
        <v>26</v>
      </c>
      <c r="H783" s="5" t="s">
        <v>7</v>
      </c>
      <c r="I783" s="31">
        <v>446.04</v>
      </c>
      <c r="J783" s="31">
        <v>0</v>
      </c>
      <c r="K783" s="6" t="str">
        <f t="shared" si="25"/>
        <v>1-POR VENCER</v>
      </c>
      <c r="L783" s="7" t="str">
        <f>_xlfn.CONCAT(TEXT(MONTH(DATA[[#This Row],[FECHA DE VENCIMIENTO]]),"00"),"-",TEXT(DATA[[#This Row],[FECHA DE VENCIMIENTO]],"MMM"))</f>
        <v>12-Dic</v>
      </c>
    </row>
    <row r="784" spans="1:12" hidden="1" x14ac:dyDescent="0.3">
      <c r="A784" s="3">
        <v>44895</v>
      </c>
      <c r="B784" s="3">
        <v>44925</v>
      </c>
      <c r="C784" s="4">
        <f t="shared" si="24"/>
        <v>-15</v>
      </c>
      <c r="D784" s="5" t="s">
        <v>452</v>
      </c>
      <c r="E784" s="5">
        <v>20601494095</v>
      </c>
      <c r="F784" s="5" t="s">
        <v>447</v>
      </c>
      <c r="G784" s="5" t="s">
        <v>26</v>
      </c>
      <c r="H784" s="5" t="s">
        <v>7</v>
      </c>
      <c r="I784" s="31">
        <v>259.60000000000002</v>
      </c>
      <c r="J784" s="31">
        <v>0</v>
      </c>
      <c r="K784" s="6" t="str">
        <f t="shared" si="25"/>
        <v>1-POR VENCER</v>
      </c>
      <c r="L784" s="7" t="str">
        <f>_xlfn.CONCAT(TEXT(MONTH(DATA[[#This Row],[FECHA DE VENCIMIENTO]]),"00"),"-",TEXT(DATA[[#This Row],[FECHA DE VENCIMIENTO]],"MMM"))</f>
        <v>12-Dic</v>
      </c>
    </row>
    <row r="785" spans="1:12" hidden="1" x14ac:dyDescent="0.3">
      <c r="A785" s="3">
        <v>44895</v>
      </c>
      <c r="B785" s="3">
        <v>44925</v>
      </c>
      <c r="C785" s="4">
        <f t="shared" si="24"/>
        <v>-15</v>
      </c>
      <c r="D785" s="5" t="s">
        <v>573</v>
      </c>
      <c r="E785" s="5">
        <v>18210051</v>
      </c>
      <c r="F785" s="5" t="s">
        <v>574</v>
      </c>
      <c r="G785" s="5" t="s">
        <v>58</v>
      </c>
      <c r="H785" s="5" t="s">
        <v>7</v>
      </c>
      <c r="I785" s="31">
        <v>1141.6500000000001</v>
      </c>
      <c r="J785" s="31">
        <v>0</v>
      </c>
      <c r="K785" s="6" t="str">
        <f t="shared" si="25"/>
        <v>1-POR VENCER</v>
      </c>
      <c r="L785" s="7" t="str">
        <f>_xlfn.CONCAT(TEXT(MONTH(DATA[[#This Row],[FECHA DE VENCIMIENTO]]),"00"),"-",TEXT(DATA[[#This Row],[FECHA DE VENCIMIENTO]],"MMM"))</f>
        <v>12-Dic</v>
      </c>
    </row>
    <row r="786" spans="1:12" ht="31.2" hidden="1" x14ac:dyDescent="0.3">
      <c r="A786" s="3">
        <v>44895</v>
      </c>
      <c r="B786" s="3">
        <v>44925</v>
      </c>
      <c r="C786" s="4">
        <f t="shared" si="24"/>
        <v>-15</v>
      </c>
      <c r="D786" s="5" t="s">
        <v>625</v>
      </c>
      <c r="E786" s="5">
        <v>20393226332</v>
      </c>
      <c r="F786" s="5" t="s">
        <v>246</v>
      </c>
      <c r="G786" s="5" t="s">
        <v>46</v>
      </c>
      <c r="H786" s="5" t="s">
        <v>7</v>
      </c>
      <c r="I786" s="31">
        <v>4204.17</v>
      </c>
      <c r="J786" s="31">
        <v>0</v>
      </c>
      <c r="K786" s="6" t="str">
        <f t="shared" si="25"/>
        <v>1-POR VENCER</v>
      </c>
      <c r="L786" s="7" t="str">
        <f>_xlfn.CONCAT(TEXT(MONTH(DATA[[#This Row],[FECHA DE VENCIMIENTO]]),"00"),"-",TEXT(DATA[[#This Row],[FECHA DE VENCIMIENTO]],"MMM"))</f>
        <v>12-Dic</v>
      </c>
    </row>
    <row r="787" spans="1:12" hidden="1" x14ac:dyDescent="0.3">
      <c r="A787" s="3">
        <v>44895</v>
      </c>
      <c r="B787" s="3">
        <v>44925</v>
      </c>
      <c r="C787" s="4">
        <f t="shared" si="24"/>
        <v>-15</v>
      </c>
      <c r="D787" s="5" t="s">
        <v>634</v>
      </c>
      <c r="E787" s="5">
        <v>20609301121</v>
      </c>
      <c r="F787" s="5" t="s">
        <v>631</v>
      </c>
      <c r="G787" s="5" t="s">
        <v>16</v>
      </c>
      <c r="H787" s="5" t="s">
        <v>29</v>
      </c>
      <c r="I787" s="31">
        <v>0</v>
      </c>
      <c r="J787" s="31">
        <v>140.13</v>
      </c>
      <c r="K787" s="6" t="str">
        <f t="shared" si="25"/>
        <v>1-POR VENCER</v>
      </c>
      <c r="L787" s="7" t="str">
        <f>_xlfn.CONCAT(TEXT(MONTH(DATA[[#This Row],[FECHA DE VENCIMIENTO]]),"00"),"-",TEXT(DATA[[#This Row],[FECHA DE VENCIMIENTO]],"MMM"))</f>
        <v>12-Dic</v>
      </c>
    </row>
    <row r="788" spans="1:12" hidden="1" x14ac:dyDescent="0.3">
      <c r="A788" s="3">
        <v>44895</v>
      </c>
      <c r="B788" s="3">
        <v>44925</v>
      </c>
      <c r="C788" s="4">
        <f t="shared" si="24"/>
        <v>-15</v>
      </c>
      <c r="D788" s="5" t="s">
        <v>665</v>
      </c>
      <c r="E788" s="5">
        <v>20132100552</v>
      </c>
      <c r="F788" s="5" t="s">
        <v>660</v>
      </c>
      <c r="G788" s="5" t="s">
        <v>58</v>
      </c>
      <c r="H788" s="5" t="s">
        <v>29</v>
      </c>
      <c r="I788" s="31">
        <v>0</v>
      </c>
      <c r="J788" s="31">
        <v>23.6</v>
      </c>
      <c r="K788" s="6" t="str">
        <f t="shared" si="25"/>
        <v>1-POR VENCER</v>
      </c>
      <c r="L788" s="7" t="str">
        <f>_xlfn.CONCAT(TEXT(MONTH(DATA[[#This Row],[FECHA DE VENCIMIENTO]]),"00"),"-",TEXT(DATA[[#This Row],[FECHA DE VENCIMIENTO]],"MMM"))</f>
        <v>12-Dic</v>
      </c>
    </row>
    <row r="789" spans="1:12" hidden="1" x14ac:dyDescent="0.3">
      <c r="A789" s="3">
        <v>44865</v>
      </c>
      <c r="B789" s="3">
        <v>44925</v>
      </c>
      <c r="C789" s="4">
        <f t="shared" si="24"/>
        <v>-15</v>
      </c>
      <c r="D789" s="5" t="s">
        <v>699</v>
      </c>
      <c r="E789" s="5">
        <v>20132373958</v>
      </c>
      <c r="F789" s="5" t="s">
        <v>697</v>
      </c>
      <c r="G789" s="5" t="s">
        <v>58</v>
      </c>
      <c r="H789" s="5" t="s">
        <v>7</v>
      </c>
      <c r="I789" s="31">
        <v>7990.49</v>
      </c>
      <c r="J789" s="31">
        <v>0</v>
      </c>
      <c r="K789" s="6" t="str">
        <f t="shared" si="25"/>
        <v>1-POR VENCER</v>
      </c>
      <c r="L789" s="7" t="str">
        <f>_xlfn.CONCAT(TEXT(MONTH(DATA[[#This Row],[FECHA DE VENCIMIENTO]]),"00"),"-",TEXT(DATA[[#This Row],[FECHA DE VENCIMIENTO]],"MMM"))</f>
        <v>12-Dic</v>
      </c>
    </row>
    <row r="790" spans="1:12" hidden="1" x14ac:dyDescent="0.3">
      <c r="A790" s="3">
        <v>44865</v>
      </c>
      <c r="B790" s="3">
        <v>44925</v>
      </c>
      <c r="C790" s="4">
        <f t="shared" si="24"/>
        <v>-15</v>
      </c>
      <c r="D790" s="5" t="s">
        <v>741</v>
      </c>
      <c r="E790" s="5">
        <v>20506421781</v>
      </c>
      <c r="F790" s="5" t="s">
        <v>735</v>
      </c>
      <c r="G790" s="5" t="s">
        <v>33</v>
      </c>
      <c r="H790" s="5" t="s">
        <v>29</v>
      </c>
      <c r="I790" s="31">
        <v>0</v>
      </c>
      <c r="J790" s="31">
        <v>6938.4</v>
      </c>
      <c r="K790" s="6" t="str">
        <f t="shared" si="25"/>
        <v>1-POR VENCER</v>
      </c>
      <c r="L790" s="7" t="str">
        <f>_xlfn.CONCAT(TEXT(MONTH(DATA[[#This Row],[FECHA DE VENCIMIENTO]]),"00"),"-",TEXT(DATA[[#This Row],[FECHA DE VENCIMIENTO]],"MMM"))</f>
        <v>12-Dic</v>
      </c>
    </row>
    <row r="791" spans="1:12" hidden="1" x14ac:dyDescent="0.3">
      <c r="A791" s="3">
        <v>44865</v>
      </c>
      <c r="B791" s="3">
        <v>44925</v>
      </c>
      <c r="C791" s="4">
        <f t="shared" si="24"/>
        <v>-15</v>
      </c>
      <c r="D791" s="5" t="s">
        <v>784</v>
      </c>
      <c r="E791" s="5">
        <v>20439320126</v>
      </c>
      <c r="F791" s="5" t="s">
        <v>777</v>
      </c>
      <c r="G791" s="5" t="s">
        <v>58</v>
      </c>
      <c r="H791" s="5" t="s">
        <v>29</v>
      </c>
      <c r="I791" s="31">
        <v>0</v>
      </c>
      <c r="J791" s="31">
        <v>629.53</v>
      </c>
      <c r="K791" s="6" t="str">
        <f t="shared" si="25"/>
        <v>1-POR VENCER</v>
      </c>
      <c r="L791" s="7" t="str">
        <f>_xlfn.CONCAT(TEXT(MONTH(DATA[[#This Row],[FECHA DE VENCIMIENTO]]),"00"),"-",TEXT(DATA[[#This Row],[FECHA DE VENCIMIENTO]],"MMM"))</f>
        <v>12-Dic</v>
      </c>
    </row>
    <row r="792" spans="1:12" hidden="1" x14ac:dyDescent="0.3">
      <c r="A792" s="3">
        <v>44895</v>
      </c>
      <c r="B792" s="3">
        <v>44925</v>
      </c>
      <c r="C792" s="4">
        <f t="shared" si="24"/>
        <v>-15</v>
      </c>
      <c r="D792" s="5" t="s">
        <v>806</v>
      </c>
      <c r="E792" s="5">
        <v>20269376806</v>
      </c>
      <c r="F792" s="5" t="s">
        <v>354</v>
      </c>
      <c r="G792" s="5" t="s">
        <v>13</v>
      </c>
      <c r="H792" s="5" t="s">
        <v>29</v>
      </c>
      <c r="I792" s="31">
        <v>0</v>
      </c>
      <c r="J792" s="31">
        <v>756.38</v>
      </c>
      <c r="K792" s="6" t="str">
        <f t="shared" si="25"/>
        <v>1-POR VENCER</v>
      </c>
      <c r="L792" s="7" t="str">
        <f>_xlfn.CONCAT(TEXT(MONTH(DATA[[#This Row],[FECHA DE VENCIMIENTO]]),"00"),"-",TEXT(DATA[[#This Row],[FECHA DE VENCIMIENTO]],"MMM"))</f>
        <v>12-Dic</v>
      </c>
    </row>
    <row r="793" spans="1:12" hidden="1" x14ac:dyDescent="0.3">
      <c r="A793" s="3">
        <v>44895</v>
      </c>
      <c r="B793" s="3">
        <v>44925</v>
      </c>
      <c r="C793" s="4">
        <f t="shared" si="24"/>
        <v>-15</v>
      </c>
      <c r="D793" s="5" t="s">
        <v>835</v>
      </c>
      <c r="E793" s="5">
        <v>20550756031</v>
      </c>
      <c r="F793" s="5" t="s">
        <v>836</v>
      </c>
      <c r="G793" s="5" t="s">
        <v>16</v>
      </c>
      <c r="H793" s="5" t="s">
        <v>7</v>
      </c>
      <c r="I793" s="31">
        <v>1557.6</v>
      </c>
      <c r="J793" s="31">
        <v>0</v>
      </c>
      <c r="K793" s="6" t="str">
        <f t="shared" si="25"/>
        <v>1-POR VENCER</v>
      </c>
      <c r="L793" s="7" t="str">
        <f>_xlfn.CONCAT(TEXT(MONTH(DATA[[#This Row],[FECHA DE VENCIMIENTO]]),"00"),"-",TEXT(DATA[[#This Row],[FECHA DE VENCIMIENTO]],"MMM"))</f>
        <v>12-Dic</v>
      </c>
    </row>
    <row r="794" spans="1:12" hidden="1" x14ac:dyDescent="0.3">
      <c r="A794" s="3">
        <v>44880</v>
      </c>
      <c r="B794" s="3">
        <v>44925</v>
      </c>
      <c r="C794" s="4">
        <f t="shared" si="24"/>
        <v>-15</v>
      </c>
      <c r="D794" s="5" t="s">
        <v>854</v>
      </c>
      <c r="E794" s="5">
        <v>20534406496</v>
      </c>
      <c r="F794" s="5" t="s">
        <v>359</v>
      </c>
      <c r="G794" s="5" t="s">
        <v>13</v>
      </c>
      <c r="H794" s="5" t="s">
        <v>7</v>
      </c>
      <c r="I794" s="31">
        <v>731.03</v>
      </c>
      <c r="J794" s="31">
        <v>0</v>
      </c>
      <c r="K794" s="6" t="str">
        <f t="shared" si="25"/>
        <v>1-POR VENCER</v>
      </c>
      <c r="L794" s="7" t="str">
        <f>_xlfn.CONCAT(TEXT(MONTH(DATA[[#This Row],[FECHA DE VENCIMIENTO]]),"00"),"-",TEXT(DATA[[#This Row],[FECHA DE VENCIMIENTO]],"MMM"))</f>
        <v>12-Dic</v>
      </c>
    </row>
    <row r="795" spans="1:12" hidden="1" x14ac:dyDescent="0.3">
      <c r="A795" s="3">
        <v>44895</v>
      </c>
      <c r="B795" s="3">
        <v>44925</v>
      </c>
      <c r="C795" s="4">
        <f t="shared" si="24"/>
        <v>-15</v>
      </c>
      <c r="D795" s="5" t="s">
        <v>955</v>
      </c>
      <c r="E795" s="5">
        <v>20566031583</v>
      </c>
      <c r="F795" s="5" t="s">
        <v>953</v>
      </c>
      <c r="G795" s="5" t="s">
        <v>13</v>
      </c>
      <c r="H795" s="5" t="s">
        <v>29</v>
      </c>
      <c r="I795" s="31">
        <v>0</v>
      </c>
      <c r="J795" s="31">
        <v>1625.45</v>
      </c>
      <c r="K795" s="6" t="str">
        <f t="shared" si="25"/>
        <v>1-POR VENCER</v>
      </c>
      <c r="L795" s="7" t="str">
        <f>_xlfn.CONCAT(TEXT(MONTH(DATA[[#This Row],[FECHA DE VENCIMIENTO]]),"00"),"-",TEXT(DATA[[#This Row],[FECHA DE VENCIMIENTO]],"MMM"))</f>
        <v>12-Dic</v>
      </c>
    </row>
    <row r="796" spans="1:12" hidden="1" x14ac:dyDescent="0.3">
      <c r="A796" s="3">
        <v>44895</v>
      </c>
      <c r="B796" s="3">
        <v>44925</v>
      </c>
      <c r="C796" s="4">
        <f t="shared" si="24"/>
        <v>-15</v>
      </c>
      <c r="D796" s="5" t="s">
        <v>1000</v>
      </c>
      <c r="E796" s="5">
        <v>20600272200</v>
      </c>
      <c r="F796" s="5" t="s">
        <v>998</v>
      </c>
      <c r="G796" s="5" t="s">
        <v>33</v>
      </c>
      <c r="H796" s="5" t="s">
        <v>7</v>
      </c>
      <c r="I796" s="31">
        <v>5940.59</v>
      </c>
      <c r="J796" s="31">
        <v>0</v>
      </c>
      <c r="K796" s="6" t="str">
        <f t="shared" si="25"/>
        <v>1-POR VENCER</v>
      </c>
      <c r="L796" s="7" t="str">
        <f>_xlfn.CONCAT(TEXT(MONTH(DATA[[#This Row],[FECHA DE VENCIMIENTO]]),"00"),"-",TEXT(DATA[[#This Row],[FECHA DE VENCIMIENTO]],"MMM"))</f>
        <v>12-Dic</v>
      </c>
    </row>
    <row r="797" spans="1:12" hidden="1" x14ac:dyDescent="0.3">
      <c r="A797" s="3">
        <v>44895</v>
      </c>
      <c r="B797" s="3">
        <v>44925</v>
      </c>
      <c r="C797" s="4">
        <f t="shared" si="24"/>
        <v>-15</v>
      </c>
      <c r="D797" s="5" t="s">
        <v>1040</v>
      </c>
      <c r="E797" s="5">
        <v>20468261082</v>
      </c>
      <c r="F797" s="5" t="s">
        <v>161</v>
      </c>
      <c r="G797" s="5" t="s">
        <v>26</v>
      </c>
      <c r="H797" s="5" t="s">
        <v>7</v>
      </c>
      <c r="I797" s="31">
        <v>10221.75</v>
      </c>
      <c r="J797" s="31">
        <v>0</v>
      </c>
      <c r="K797" s="6" t="str">
        <f t="shared" si="25"/>
        <v>1-POR VENCER</v>
      </c>
      <c r="L797" s="7" t="str">
        <f>_xlfn.CONCAT(TEXT(MONTH(DATA[[#This Row],[FECHA DE VENCIMIENTO]]),"00"),"-",TEXT(DATA[[#This Row],[FECHA DE VENCIMIENTO]],"MMM"))</f>
        <v>12-Dic</v>
      </c>
    </row>
    <row r="798" spans="1:12" hidden="1" x14ac:dyDescent="0.3">
      <c r="A798" s="3">
        <v>44895</v>
      </c>
      <c r="B798" s="3">
        <v>44925</v>
      </c>
      <c r="C798" s="4">
        <f t="shared" si="24"/>
        <v>-15</v>
      </c>
      <c r="D798" s="5" t="s">
        <v>1041</v>
      </c>
      <c r="E798" s="5">
        <v>20468261082</v>
      </c>
      <c r="F798" s="5" t="s">
        <v>161</v>
      </c>
      <c r="G798" s="5" t="s">
        <v>26</v>
      </c>
      <c r="H798" s="5" t="s">
        <v>7</v>
      </c>
      <c r="I798" s="31">
        <v>330.4</v>
      </c>
      <c r="J798" s="31">
        <v>0</v>
      </c>
      <c r="K798" s="6" t="str">
        <f t="shared" si="25"/>
        <v>1-POR VENCER</v>
      </c>
      <c r="L798" s="7" t="str">
        <f>_xlfn.CONCAT(TEXT(MONTH(DATA[[#This Row],[FECHA DE VENCIMIENTO]]),"00"),"-",TEXT(DATA[[#This Row],[FECHA DE VENCIMIENTO]],"MMM"))</f>
        <v>12-Dic</v>
      </c>
    </row>
    <row r="799" spans="1:12" hidden="1" x14ac:dyDescent="0.3">
      <c r="A799" s="3">
        <v>44895</v>
      </c>
      <c r="B799" s="3">
        <v>44925</v>
      </c>
      <c r="C799" s="4">
        <f t="shared" si="24"/>
        <v>-15</v>
      </c>
      <c r="D799" s="5" t="s">
        <v>1042</v>
      </c>
      <c r="E799" s="5">
        <v>20468261082</v>
      </c>
      <c r="F799" s="5" t="s">
        <v>161</v>
      </c>
      <c r="G799" s="5" t="s">
        <v>26</v>
      </c>
      <c r="H799" s="5" t="s">
        <v>7</v>
      </c>
      <c r="I799" s="31">
        <v>330.4</v>
      </c>
      <c r="J799" s="31">
        <v>0</v>
      </c>
      <c r="K799" s="6" t="str">
        <f t="shared" si="25"/>
        <v>1-POR VENCER</v>
      </c>
      <c r="L799" s="7" t="str">
        <f>_xlfn.CONCAT(TEXT(MONTH(DATA[[#This Row],[FECHA DE VENCIMIENTO]]),"00"),"-",TEXT(DATA[[#This Row],[FECHA DE VENCIMIENTO]],"MMM"))</f>
        <v>12-Dic</v>
      </c>
    </row>
    <row r="800" spans="1:12" hidden="1" x14ac:dyDescent="0.3">
      <c r="A800" s="3">
        <v>44895</v>
      </c>
      <c r="B800" s="3">
        <v>44925</v>
      </c>
      <c r="C800" s="4">
        <f t="shared" si="24"/>
        <v>-15</v>
      </c>
      <c r="D800" s="5" t="s">
        <v>1043</v>
      </c>
      <c r="E800" s="5">
        <v>20468261082</v>
      </c>
      <c r="F800" s="5" t="s">
        <v>161</v>
      </c>
      <c r="G800" s="5" t="s">
        <v>26</v>
      </c>
      <c r="H800" s="5" t="s">
        <v>7</v>
      </c>
      <c r="I800" s="31">
        <v>188.8</v>
      </c>
      <c r="J800" s="31">
        <v>0</v>
      </c>
      <c r="K800" s="6" t="str">
        <f t="shared" si="25"/>
        <v>1-POR VENCER</v>
      </c>
      <c r="L800" s="7" t="str">
        <f>_xlfn.CONCAT(TEXT(MONTH(DATA[[#This Row],[FECHA DE VENCIMIENTO]]),"00"),"-",TEXT(DATA[[#This Row],[FECHA DE VENCIMIENTO]],"MMM"))</f>
        <v>12-Dic</v>
      </c>
    </row>
    <row r="801" spans="1:12" hidden="1" x14ac:dyDescent="0.3">
      <c r="A801" s="3">
        <v>44895</v>
      </c>
      <c r="B801" s="3">
        <v>44925</v>
      </c>
      <c r="C801" s="4">
        <f t="shared" si="24"/>
        <v>-15</v>
      </c>
      <c r="D801" s="5" t="s">
        <v>1044</v>
      </c>
      <c r="E801" s="5">
        <v>20468261082</v>
      </c>
      <c r="F801" s="5" t="s">
        <v>161</v>
      </c>
      <c r="G801" s="5" t="s">
        <v>26</v>
      </c>
      <c r="H801" s="5" t="s">
        <v>7</v>
      </c>
      <c r="I801" s="31">
        <v>330.4</v>
      </c>
      <c r="J801" s="31">
        <v>0</v>
      </c>
      <c r="K801" s="6" t="str">
        <f t="shared" si="25"/>
        <v>1-POR VENCER</v>
      </c>
      <c r="L801" s="7" t="str">
        <f>_xlfn.CONCAT(TEXT(MONTH(DATA[[#This Row],[FECHA DE VENCIMIENTO]]),"00"),"-",TEXT(DATA[[#This Row],[FECHA DE VENCIMIENTO]],"MMM"))</f>
        <v>12-Dic</v>
      </c>
    </row>
    <row r="802" spans="1:12" hidden="1" x14ac:dyDescent="0.3">
      <c r="A802" s="3">
        <v>44895</v>
      </c>
      <c r="B802" s="3">
        <v>44925</v>
      </c>
      <c r="C802" s="4">
        <f t="shared" si="24"/>
        <v>-15</v>
      </c>
      <c r="D802" s="5" t="s">
        <v>1045</v>
      </c>
      <c r="E802" s="5">
        <v>20468261082</v>
      </c>
      <c r="F802" s="5" t="s">
        <v>161</v>
      </c>
      <c r="G802" s="5" t="s">
        <v>26</v>
      </c>
      <c r="H802" s="5" t="s">
        <v>7</v>
      </c>
      <c r="I802" s="31">
        <v>330.4</v>
      </c>
      <c r="J802" s="31">
        <v>0</v>
      </c>
      <c r="K802" s="6" t="str">
        <f t="shared" si="25"/>
        <v>1-POR VENCER</v>
      </c>
      <c r="L802" s="7" t="str">
        <f>_xlfn.CONCAT(TEXT(MONTH(DATA[[#This Row],[FECHA DE VENCIMIENTO]]),"00"),"-",TEXT(DATA[[#This Row],[FECHA DE VENCIMIENTO]],"MMM"))</f>
        <v>12-Dic</v>
      </c>
    </row>
    <row r="803" spans="1:12" hidden="1" x14ac:dyDescent="0.3">
      <c r="A803" s="3">
        <v>44895</v>
      </c>
      <c r="B803" s="3">
        <v>44925</v>
      </c>
      <c r="C803" s="4">
        <f t="shared" si="24"/>
        <v>-15</v>
      </c>
      <c r="D803" s="5" t="s">
        <v>1046</v>
      </c>
      <c r="E803" s="5">
        <v>20468261082</v>
      </c>
      <c r="F803" s="5" t="s">
        <v>161</v>
      </c>
      <c r="G803" s="5" t="s">
        <v>26</v>
      </c>
      <c r="H803" s="5" t="s">
        <v>7</v>
      </c>
      <c r="I803" s="31">
        <v>188.8</v>
      </c>
      <c r="J803" s="31">
        <v>0</v>
      </c>
      <c r="K803" s="6" t="str">
        <f t="shared" si="25"/>
        <v>1-POR VENCER</v>
      </c>
      <c r="L803" s="7" t="str">
        <f>_xlfn.CONCAT(TEXT(MONTH(DATA[[#This Row],[FECHA DE VENCIMIENTO]]),"00"),"-",TEXT(DATA[[#This Row],[FECHA DE VENCIMIENTO]],"MMM"))</f>
        <v>12-Dic</v>
      </c>
    </row>
    <row r="804" spans="1:12" hidden="1" x14ac:dyDescent="0.3">
      <c r="A804" s="3">
        <v>44895</v>
      </c>
      <c r="B804" s="3">
        <v>44925</v>
      </c>
      <c r="C804" s="4">
        <f t="shared" si="24"/>
        <v>-15</v>
      </c>
      <c r="D804" s="5" t="s">
        <v>1047</v>
      </c>
      <c r="E804" s="5">
        <v>20468261082</v>
      </c>
      <c r="F804" s="5" t="s">
        <v>161</v>
      </c>
      <c r="G804" s="5" t="s">
        <v>26</v>
      </c>
      <c r="H804" s="5" t="s">
        <v>7</v>
      </c>
      <c r="I804" s="31">
        <v>188.8</v>
      </c>
      <c r="J804" s="31">
        <v>0</v>
      </c>
      <c r="K804" s="6" t="str">
        <f t="shared" si="25"/>
        <v>1-POR VENCER</v>
      </c>
      <c r="L804" s="7" t="str">
        <f>_xlfn.CONCAT(TEXT(MONTH(DATA[[#This Row],[FECHA DE VENCIMIENTO]]),"00"),"-",TEXT(DATA[[#This Row],[FECHA DE VENCIMIENTO]],"MMM"))</f>
        <v>12-Dic</v>
      </c>
    </row>
    <row r="805" spans="1:12" hidden="1" x14ac:dyDescent="0.3">
      <c r="A805" s="3">
        <v>44895</v>
      </c>
      <c r="B805" s="3">
        <v>44925</v>
      </c>
      <c r="C805" s="4">
        <f t="shared" si="24"/>
        <v>-15</v>
      </c>
      <c r="D805" s="5" t="s">
        <v>1048</v>
      </c>
      <c r="E805" s="5">
        <v>20468261082</v>
      </c>
      <c r="F805" s="5" t="s">
        <v>161</v>
      </c>
      <c r="G805" s="5" t="s">
        <v>26</v>
      </c>
      <c r="H805" s="5" t="s">
        <v>7</v>
      </c>
      <c r="I805" s="31">
        <v>330.4</v>
      </c>
      <c r="J805" s="31">
        <v>0</v>
      </c>
      <c r="K805" s="6" t="str">
        <f t="shared" si="25"/>
        <v>1-POR VENCER</v>
      </c>
      <c r="L805" s="7" t="str">
        <f>_xlfn.CONCAT(TEXT(MONTH(DATA[[#This Row],[FECHA DE VENCIMIENTO]]),"00"),"-",TEXT(DATA[[#This Row],[FECHA DE VENCIMIENTO]],"MMM"))</f>
        <v>12-Dic</v>
      </c>
    </row>
    <row r="806" spans="1:12" hidden="1" x14ac:dyDescent="0.3">
      <c r="A806" s="3">
        <v>44895</v>
      </c>
      <c r="B806" s="3">
        <v>44925</v>
      </c>
      <c r="C806" s="4">
        <f t="shared" si="24"/>
        <v>-15</v>
      </c>
      <c r="D806" s="5" t="s">
        <v>1049</v>
      </c>
      <c r="E806" s="5">
        <v>20468261082</v>
      </c>
      <c r="F806" s="5" t="s">
        <v>161</v>
      </c>
      <c r="G806" s="5" t="s">
        <v>26</v>
      </c>
      <c r="H806" s="5" t="s">
        <v>7</v>
      </c>
      <c r="I806" s="31">
        <v>188.8</v>
      </c>
      <c r="J806" s="31">
        <v>0</v>
      </c>
      <c r="K806" s="6" t="str">
        <f t="shared" si="25"/>
        <v>1-POR VENCER</v>
      </c>
      <c r="L806" s="7" t="str">
        <f>_xlfn.CONCAT(TEXT(MONTH(DATA[[#This Row],[FECHA DE VENCIMIENTO]]),"00"),"-",TEXT(DATA[[#This Row],[FECHA DE VENCIMIENTO]],"MMM"))</f>
        <v>12-Dic</v>
      </c>
    </row>
    <row r="807" spans="1:12" hidden="1" x14ac:dyDescent="0.3">
      <c r="A807" s="3">
        <v>44895</v>
      </c>
      <c r="B807" s="3">
        <v>44925</v>
      </c>
      <c r="C807" s="4">
        <f t="shared" si="24"/>
        <v>-15</v>
      </c>
      <c r="D807" s="5" t="s">
        <v>1050</v>
      </c>
      <c r="E807" s="5">
        <v>20468261082</v>
      </c>
      <c r="F807" s="5" t="s">
        <v>161</v>
      </c>
      <c r="G807" s="5" t="s">
        <v>26</v>
      </c>
      <c r="H807" s="5" t="s">
        <v>7</v>
      </c>
      <c r="I807" s="31">
        <v>330.4</v>
      </c>
      <c r="J807" s="31">
        <v>0</v>
      </c>
      <c r="K807" s="6" t="str">
        <f t="shared" si="25"/>
        <v>1-POR VENCER</v>
      </c>
      <c r="L807" s="7" t="str">
        <f>_xlfn.CONCAT(TEXT(MONTH(DATA[[#This Row],[FECHA DE VENCIMIENTO]]),"00"),"-",TEXT(DATA[[#This Row],[FECHA DE VENCIMIENTO]],"MMM"))</f>
        <v>12-Dic</v>
      </c>
    </row>
    <row r="808" spans="1:12" hidden="1" x14ac:dyDescent="0.3">
      <c r="A808" s="3">
        <v>44895</v>
      </c>
      <c r="B808" s="3">
        <v>44925</v>
      </c>
      <c r="C808" s="4">
        <f t="shared" si="24"/>
        <v>-15</v>
      </c>
      <c r="D808" s="5" t="s">
        <v>1051</v>
      </c>
      <c r="E808" s="5">
        <v>20468261082</v>
      </c>
      <c r="F808" s="5" t="s">
        <v>161</v>
      </c>
      <c r="G808" s="5" t="s">
        <v>26</v>
      </c>
      <c r="H808" s="5" t="s">
        <v>7</v>
      </c>
      <c r="I808" s="31">
        <v>188.8</v>
      </c>
      <c r="J808" s="31">
        <v>0</v>
      </c>
      <c r="K808" s="6" t="str">
        <f t="shared" si="25"/>
        <v>1-POR VENCER</v>
      </c>
      <c r="L808" s="7" t="str">
        <f>_xlfn.CONCAT(TEXT(MONTH(DATA[[#This Row],[FECHA DE VENCIMIENTO]]),"00"),"-",TEXT(DATA[[#This Row],[FECHA DE VENCIMIENTO]],"MMM"))</f>
        <v>12-Dic</v>
      </c>
    </row>
    <row r="809" spans="1:12" hidden="1" x14ac:dyDescent="0.3">
      <c r="A809" s="3">
        <v>44895</v>
      </c>
      <c r="B809" s="3">
        <v>44925</v>
      </c>
      <c r="C809" s="4">
        <f t="shared" si="24"/>
        <v>-15</v>
      </c>
      <c r="D809" s="5" t="s">
        <v>1052</v>
      </c>
      <c r="E809" s="5">
        <v>20468261082</v>
      </c>
      <c r="F809" s="5" t="s">
        <v>161</v>
      </c>
      <c r="G809" s="5" t="s">
        <v>26</v>
      </c>
      <c r="H809" s="5" t="s">
        <v>7</v>
      </c>
      <c r="I809" s="31">
        <v>17015.79</v>
      </c>
      <c r="J809" s="31">
        <v>0</v>
      </c>
      <c r="K809" s="6" t="str">
        <f t="shared" si="25"/>
        <v>1-POR VENCER</v>
      </c>
      <c r="L809" s="7" t="str">
        <f>_xlfn.CONCAT(TEXT(MONTH(DATA[[#This Row],[FECHA DE VENCIMIENTO]]),"00"),"-",TEXT(DATA[[#This Row],[FECHA DE VENCIMIENTO]],"MMM"))</f>
        <v>12-Dic</v>
      </c>
    </row>
    <row r="810" spans="1:12" hidden="1" x14ac:dyDescent="0.3">
      <c r="A810" s="3">
        <v>44895</v>
      </c>
      <c r="B810" s="3">
        <v>44925</v>
      </c>
      <c r="C810" s="4">
        <f t="shared" si="24"/>
        <v>-15</v>
      </c>
      <c r="D810" s="5" t="s">
        <v>1054</v>
      </c>
      <c r="E810" s="5">
        <v>20468261082</v>
      </c>
      <c r="F810" s="5" t="s">
        <v>161</v>
      </c>
      <c r="G810" s="5" t="s">
        <v>26</v>
      </c>
      <c r="H810" s="5" t="s">
        <v>29</v>
      </c>
      <c r="I810" s="31">
        <v>0</v>
      </c>
      <c r="J810" s="31">
        <v>265.5</v>
      </c>
      <c r="K810" s="6" t="str">
        <f t="shared" si="25"/>
        <v>1-POR VENCER</v>
      </c>
      <c r="L810" s="7" t="str">
        <f>_xlfn.CONCAT(TEXT(MONTH(DATA[[#This Row],[FECHA DE VENCIMIENTO]]),"00"),"-",TEXT(DATA[[#This Row],[FECHA DE VENCIMIENTO]],"MMM"))</f>
        <v>12-Dic</v>
      </c>
    </row>
    <row r="811" spans="1:12" hidden="1" x14ac:dyDescent="0.3">
      <c r="A811" s="3">
        <v>44895</v>
      </c>
      <c r="B811" s="3">
        <v>44925</v>
      </c>
      <c r="C811" s="4">
        <f t="shared" si="24"/>
        <v>-15</v>
      </c>
      <c r="D811" s="5" t="s">
        <v>1055</v>
      </c>
      <c r="E811" s="5">
        <v>20468261082</v>
      </c>
      <c r="F811" s="5" t="s">
        <v>161</v>
      </c>
      <c r="G811" s="5" t="s">
        <v>26</v>
      </c>
      <c r="H811" s="5" t="s">
        <v>7</v>
      </c>
      <c r="I811" s="31">
        <v>236</v>
      </c>
      <c r="J811" s="31">
        <v>0</v>
      </c>
      <c r="K811" s="6" t="str">
        <f t="shared" si="25"/>
        <v>1-POR VENCER</v>
      </c>
      <c r="L811" s="7" t="str">
        <f>_xlfn.CONCAT(TEXT(MONTH(DATA[[#This Row],[FECHA DE VENCIMIENTO]]),"00"),"-",TEXT(DATA[[#This Row],[FECHA DE VENCIMIENTO]],"MMM"))</f>
        <v>12-Dic</v>
      </c>
    </row>
    <row r="812" spans="1:12" hidden="1" x14ac:dyDescent="0.3">
      <c r="A812" s="3">
        <v>44895</v>
      </c>
      <c r="B812" s="3">
        <v>44925</v>
      </c>
      <c r="C812" s="4">
        <f t="shared" si="24"/>
        <v>-15</v>
      </c>
      <c r="D812" s="5" t="s">
        <v>1094</v>
      </c>
      <c r="E812" s="5">
        <v>20481608598</v>
      </c>
      <c r="F812" s="5" t="s">
        <v>1095</v>
      </c>
      <c r="G812" s="5" t="s">
        <v>58</v>
      </c>
      <c r="H812" s="5" t="s">
        <v>29</v>
      </c>
      <c r="I812" s="31">
        <v>0</v>
      </c>
      <c r="J812" s="31">
        <v>2975.96</v>
      </c>
      <c r="K812" s="6" t="str">
        <f t="shared" si="25"/>
        <v>1-POR VENCER</v>
      </c>
      <c r="L812" s="7" t="str">
        <f>_xlfn.CONCAT(TEXT(MONTH(DATA[[#This Row],[FECHA DE VENCIMIENTO]]),"00"),"-",TEXT(DATA[[#This Row],[FECHA DE VENCIMIENTO]],"MMM"))</f>
        <v>12-Dic</v>
      </c>
    </row>
    <row r="813" spans="1:12" hidden="1" x14ac:dyDescent="0.3">
      <c r="A813" s="3">
        <v>44895</v>
      </c>
      <c r="B813" s="3">
        <v>44925</v>
      </c>
      <c r="C813" s="4">
        <f t="shared" si="24"/>
        <v>-15</v>
      </c>
      <c r="D813" s="5" t="s">
        <v>1178</v>
      </c>
      <c r="E813" s="5">
        <v>20603019343</v>
      </c>
      <c r="F813" s="5" t="s">
        <v>1179</v>
      </c>
      <c r="G813" s="5" t="s">
        <v>13</v>
      </c>
      <c r="H813" s="5" t="s">
        <v>29</v>
      </c>
      <c r="I813" s="31">
        <v>0</v>
      </c>
      <c r="J813" s="31">
        <v>1034.6199999999999</v>
      </c>
      <c r="K813" s="6" t="str">
        <f t="shared" si="25"/>
        <v>1-POR VENCER</v>
      </c>
      <c r="L813" s="7" t="str">
        <f>_xlfn.CONCAT(TEXT(MONTH(DATA[[#This Row],[FECHA DE VENCIMIENTO]]),"00"),"-",TEXT(DATA[[#This Row],[FECHA DE VENCIMIENTO]],"MMM"))</f>
        <v>12-Dic</v>
      </c>
    </row>
    <row r="814" spans="1:12" hidden="1" x14ac:dyDescent="0.3">
      <c r="A814" s="3">
        <v>44895</v>
      </c>
      <c r="B814" s="3">
        <v>44925</v>
      </c>
      <c r="C814" s="4">
        <f t="shared" si="24"/>
        <v>-15</v>
      </c>
      <c r="D814" s="5" t="s">
        <v>1250</v>
      </c>
      <c r="E814" s="5">
        <v>20604694290</v>
      </c>
      <c r="F814" s="5" t="s">
        <v>1251</v>
      </c>
      <c r="G814" s="5" t="s">
        <v>26</v>
      </c>
      <c r="H814" s="5" t="s">
        <v>7</v>
      </c>
      <c r="I814" s="31">
        <v>306.8</v>
      </c>
      <c r="J814" s="31">
        <v>0</v>
      </c>
      <c r="K814" s="6" t="str">
        <f t="shared" si="25"/>
        <v>1-POR VENCER</v>
      </c>
      <c r="L814" s="7" t="str">
        <f>_xlfn.CONCAT(TEXT(MONTH(DATA[[#This Row],[FECHA DE VENCIMIENTO]]),"00"),"-",TEXT(DATA[[#This Row],[FECHA DE VENCIMIENTO]],"MMM"))</f>
        <v>12-Dic</v>
      </c>
    </row>
    <row r="815" spans="1:12" hidden="1" x14ac:dyDescent="0.3">
      <c r="A815" s="3">
        <v>44895</v>
      </c>
      <c r="B815" s="3">
        <v>44925</v>
      </c>
      <c r="C815" s="4">
        <f t="shared" si="24"/>
        <v>-15</v>
      </c>
      <c r="D815" s="5" t="s">
        <v>1252</v>
      </c>
      <c r="E815" s="5">
        <v>20604694290</v>
      </c>
      <c r="F815" s="5" t="s">
        <v>1251</v>
      </c>
      <c r="G815" s="5" t="s">
        <v>26</v>
      </c>
      <c r="H815" s="5" t="s">
        <v>7</v>
      </c>
      <c r="I815" s="31">
        <v>531</v>
      </c>
      <c r="J815" s="31">
        <v>0</v>
      </c>
      <c r="K815" s="6" t="str">
        <f t="shared" si="25"/>
        <v>1-POR VENCER</v>
      </c>
      <c r="L815" s="7" t="str">
        <f>_xlfn.CONCAT(TEXT(MONTH(DATA[[#This Row],[FECHA DE VENCIMIENTO]]),"00"),"-",TEXT(DATA[[#This Row],[FECHA DE VENCIMIENTO]],"MMM"))</f>
        <v>12-Dic</v>
      </c>
    </row>
    <row r="816" spans="1:12" hidden="1" x14ac:dyDescent="0.3">
      <c r="A816" s="3">
        <v>44896</v>
      </c>
      <c r="B816" s="3">
        <v>44926</v>
      </c>
      <c r="C816" s="4">
        <f t="shared" si="24"/>
        <v>-16</v>
      </c>
      <c r="D816" s="5" t="s">
        <v>670</v>
      </c>
      <c r="E816" s="5">
        <v>20132100552</v>
      </c>
      <c r="F816" s="5" t="s">
        <v>660</v>
      </c>
      <c r="G816" s="5" t="s">
        <v>58</v>
      </c>
      <c r="H816" s="5" t="s">
        <v>29</v>
      </c>
      <c r="I816" s="31">
        <v>0</v>
      </c>
      <c r="J816" s="31">
        <v>388.22</v>
      </c>
      <c r="K816" s="6" t="str">
        <f t="shared" si="25"/>
        <v>1-POR VENCER</v>
      </c>
      <c r="L816" s="7" t="str">
        <f>_xlfn.CONCAT(TEXT(MONTH(DATA[[#This Row],[FECHA DE VENCIMIENTO]]),"00"),"-",TEXT(DATA[[#This Row],[FECHA DE VENCIMIENTO]],"MMM"))</f>
        <v>12-Dic</v>
      </c>
    </row>
    <row r="817" spans="1:12" hidden="1" x14ac:dyDescent="0.3">
      <c r="A817" s="3">
        <v>44896</v>
      </c>
      <c r="B817" s="3">
        <v>44926</v>
      </c>
      <c r="C817" s="4">
        <f t="shared" si="24"/>
        <v>-16</v>
      </c>
      <c r="D817" s="5" t="s">
        <v>681</v>
      </c>
      <c r="E817" s="5">
        <v>20524088810</v>
      </c>
      <c r="F817" s="5" t="s">
        <v>680</v>
      </c>
      <c r="G817" s="5" t="s">
        <v>13</v>
      </c>
      <c r="H817" s="5" t="s">
        <v>29</v>
      </c>
      <c r="I817" s="31">
        <v>0</v>
      </c>
      <c r="J817" s="31">
        <v>460.2</v>
      </c>
      <c r="K817" s="6" t="str">
        <f t="shared" si="25"/>
        <v>1-POR VENCER</v>
      </c>
      <c r="L817" s="7" t="str">
        <f>_xlfn.CONCAT(TEXT(MONTH(DATA[[#This Row],[FECHA DE VENCIMIENTO]]),"00"),"-",TEXT(DATA[[#This Row],[FECHA DE VENCIMIENTO]],"MMM"))</f>
        <v>12-Dic</v>
      </c>
    </row>
    <row r="818" spans="1:12" hidden="1" x14ac:dyDescent="0.3">
      <c r="A818" s="3">
        <v>44896</v>
      </c>
      <c r="B818" s="3">
        <v>44926</v>
      </c>
      <c r="C818" s="4">
        <f t="shared" si="24"/>
        <v>-16</v>
      </c>
      <c r="D818" s="5" t="s">
        <v>814</v>
      </c>
      <c r="E818" s="5">
        <v>20467089464</v>
      </c>
      <c r="F818" s="5" t="s">
        <v>810</v>
      </c>
      <c r="G818" s="5" t="s">
        <v>26</v>
      </c>
      <c r="H818" s="5" t="s">
        <v>29</v>
      </c>
      <c r="I818" s="31">
        <v>0</v>
      </c>
      <c r="J818" s="31">
        <v>665.52</v>
      </c>
      <c r="K818" s="6" t="str">
        <f t="shared" si="25"/>
        <v>1-POR VENCER</v>
      </c>
      <c r="L818" s="7" t="str">
        <f>_xlfn.CONCAT(TEXT(MONTH(DATA[[#This Row],[FECHA DE VENCIMIENTO]]),"00"),"-",TEXT(DATA[[#This Row],[FECHA DE VENCIMIENTO]],"MMM"))</f>
        <v>12-Dic</v>
      </c>
    </row>
    <row r="819" spans="1:12" hidden="1" x14ac:dyDescent="0.3">
      <c r="A819" s="3">
        <v>44881</v>
      </c>
      <c r="B819" s="3">
        <v>44926</v>
      </c>
      <c r="C819" s="4">
        <f t="shared" si="24"/>
        <v>-16</v>
      </c>
      <c r="D819" s="5" t="s">
        <v>857</v>
      </c>
      <c r="E819" s="5">
        <v>20534406496</v>
      </c>
      <c r="F819" s="5" t="s">
        <v>359</v>
      </c>
      <c r="G819" s="5" t="s">
        <v>13</v>
      </c>
      <c r="H819" s="5" t="s">
        <v>7</v>
      </c>
      <c r="I819" s="31">
        <v>22805.03</v>
      </c>
      <c r="J819" s="31">
        <v>0</v>
      </c>
      <c r="K819" s="6" t="str">
        <f t="shared" si="25"/>
        <v>1-POR VENCER</v>
      </c>
      <c r="L819" s="7" t="str">
        <f>_xlfn.CONCAT(TEXT(MONTH(DATA[[#This Row],[FECHA DE VENCIMIENTO]]),"00"),"-",TEXT(DATA[[#This Row],[FECHA DE VENCIMIENTO]],"MMM"))</f>
        <v>12-Dic</v>
      </c>
    </row>
    <row r="820" spans="1:12" ht="31.2" hidden="1" x14ac:dyDescent="0.3">
      <c r="A820" s="3">
        <v>44896</v>
      </c>
      <c r="B820" s="3">
        <v>44926</v>
      </c>
      <c r="C820" s="4">
        <f t="shared" si="24"/>
        <v>-16</v>
      </c>
      <c r="D820" s="5" t="s">
        <v>1114</v>
      </c>
      <c r="E820" s="5">
        <v>20393514630</v>
      </c>
      <c r="F820" s="5" t="s">
        <v>1108</v>
      </c>
      <c r="G820" s="5" t="s">
        <v>46</v>
      </c>
      <c r="H820" s="5" t="s">
        <v>29</v>
      </c>
      <c r="I820" s="31">
        <v>0</v>
      </c>
      <c r="J820" s="31">
        <v>3327.6</v>
      </c>
      <c r="K820" s="6" t="str">
        <f t="shared" si="25"/>
        <v>1-POR VENCER</v>
      </c>
      <c r="L820" s="7" t="str">
        <f>_xlfn.CONCAT(TEXT(MONTH(DATA[[#This Row],[FECHA DE VENCIMIENTO]]),"00"),"-",TEXT(DATA[[#This Row],[FECHA DE VENCIMIENTO]],"MMM"))</f>
        <v>12-Dic</v>
      </c>
    </row>
    <row r="821" spans="1:12" hidden="1" x14ac:dyDescent="0.3">
      <c r="A821" s="3">
        <v>44896</v>
      </c>
      <c r="B821" s="3">
        <v>44926</v>
      </c>
      <c r="C821" s="4">
        <f t="shared" si="24"/>
        <v>-16</v>
      </c>
      <c r="D821" s="5" t="s">
        <v>1162</v>
      </c>
      <c r="E821" s="5">
        <v>20516083647</v>
      </c>
      <c r="F821" s="5" t="s">
        <v>360</v>
      </c>
      <c r="G821" s="5" t="s">
        <v>16</v>
      </c>
      <c r="H821" s="5" t="s">
        <v>7</v>
      </c>
      <c r="I821" s="31">
        <v>9204</v>
      </c>
      <c r="J821" s="31">
        <v>0</v>
      </c>
      <c r="K821" s="6" t="str">
        <f t="shared" si="25"/>
        <v>1-POR VENCER</v>
      </c>
      <c r="L821" s="7" t="str">
        <f>_xlfn.CONCAT(TEXT(MONTH(DATA[[#This Row],[FECHA DE VENCIMIENTO]]),"00"),"-",TEXT(DATA[[#This Row],[FECHA DE VENCIMIENTO]],"MMM"))</f>
        <v>12-Dic</v>
      </c>
    </row>
    <row r="822" spans="1:12" hidden="1" x14ac:dyDescent="0.3">
      <c r="A822" s="3">
        <v>44896</v>
      </c>
      <c r="B822" s="3">
        <v>44926</v>
      </c>
      <c r="C822" s="4">
        <f t="shared" si="24"/>
        <v>-16</v>
      </c>
      <c r="D822" s="5" t="s">
        <v>1164</v>
      </c>
      <c r="E822" s="5">
        <v>20516083647</v>
      </c>
      <c r="F822" s="5" t="s">
        <v>360</v>
      </c>
      <c r="G822" s="5" t="s">
        <v>16</v>
      </c>
      <c r="H822" s="5" t="s">
        <v>7</v>
      </c>
      <c r="I822" s="31">
        <v>9204</v>
      </c>
      <c r="J822" s="31">
        <v>0</v>
      </c>
      <c r="K822" s="6" t="str">
        <f t="shared" si="25"/>
        <v>1-POR VENCER</v>
      </c>
      <c r="L822" s="7" t="str">
        <f>_xlfn.CONCAT(TEXT(MONTH(DATA[[#This Row],[FECHA DE VENCIMIENTO]]),"00"),"-",TEXT(DATA[[#This Row],[FECHA DE VENCIMIENTO]],"MMM"))</f>
        <v>12-Dic</v>
      </c>
    </row>
    <row r="823" spans="1:12" ht="31.2" hidden="1" x14ac:dyDescent="0.3">
      <c r="A823" s="3">
        <v>44896</v>
      </c>
      <c r="B823" s="3">
        <v>44926</v>
      </c>
      <c r="C823" s="4">
        <f t="shared" si="24"/>
        <v>-16</v>
      </c>
      <c r="D823" s="5" t="s">
        <v>1185</v>
      </c>
      <c r="E823" s="5">
        <v>20494090954</v>
      </c>
      <c r="F823" s="5" t="s">
        <v>1186</v>
      </c>
      <c r="G823" s="5" t="s">
        <v>46</v>
      </c>
      <c r="H823" s="5" t="s">
        <v>29</v>
      </c>
      <c r="I823" s="31">
        <v>0</v>
      </c>
      <c r="J823" s="31">
        <v>1327.5</v>
      </c>
      <c r="K823" s="6" t="str">
        <f t="shared" si="25"/>
        <v>1-POR VENCER</v>
      </c>
      <c r="L823" s="7" t="str">
        <f>_xlfn.CONCAT(TEXT(MONTH(DATA[[#This Row],[FECHA DE VENCIMIENTO]]),"00"),"-",TEXT(DATA[[#This Row],[FECHA DE VENCIMIENTO]],"MMM"))</f>
        <v>12-Dic</v>
      </c>
    </row>
    <row r="824" spans="1:12" hidden="1" x14ac:dyDescent="0.3">
      <c r="A824" s="3">
        <v>44897</v>
      </c>
      <c r="B824" s="3">
        <v>44927</v>
      </c>
      <c r="C824" s="4">
        <f t="shared" si="24"/>
        <v>-17</v>
      </c>
      <c r="D824" s="5" t="s">
        <v>679</v>
      </c>
      <c r="E824" s="5">
        <v>20524088810</v>
      </c>
      <c r="F824" s="5" t="s">
        <v>680</v>
      </c>
      <c r="G824" s="5" t="s">
        <v>13</v>
      </c>
      <c r="H824" s="5" t="s">
        <v>29</v>
      </c>
      <c r="I824" s="31">
        <v>0</v>
      </c>
      <c r="J824" s="31">
        <v>531</v>
      </c>
      <c r="K824" s="6" t="str">
        <f t="shared" si="25"/>
        <v>1-POR VENCER</v>
      </c>
      <c r="L824" s="7" t="str">
        <f>_xlfn.CONCAT(TEXT(MONTH(DATA[[#This Row],[FECHA DE VENCIMIENTO]]),"00"),"-",TEXT(DATA[[#This Row],[FECHA DE VENCIMIENTO]],"MMM"))</f>
        <v>01-Ene</v>
      </c>
    </row>
    <row r="825" spans="1:12" hidden="1" x14ac:dyDescent="0.3">
      <c r="A825" s="3">
        <v>44897</v>
      </c>
      <c r="B825" s="3">
        <v>44927</v>
      </c>
      <c r="C825" s="4">
        <f t="shared" si="24"/>
        <v>-17</v>
      </c>
      <c r="D825" s="5" t="s">
        <v>693</v>
      </c>
      <c r="E825" s="5">
        <v>20563407426</v>
      </c>
      <c r="F825" s="5" t="s">
        <v>694</v>
      </c>
      <c r="G825" s="5" t="s">
        <v>13</v>
      </c>
      <c r="H825" s="5" t="s">
        <v>7</v>
      </c>
      <c r="I825" s="31">
        <v>18408</v>
      </c>
      <c r="J825" s="31">
        <v>0</v>
      </c>
      <c r="K825" s="6" t="str">
        <f t="shared" si="25"/>
        <v>1-POR VENCER</v>
      </c>
      <c r="L825" s="7" t="str">
        <f>_xlfn.CONCAT(TEXT(MONTH(DATA[[#This Row],[FECHA DE VENCIMIENTO]]),"00"),"-",TEXT(DATA[[#This Row],[FECHA DE VENCIMIENTO]],"MMM"))</f>
        <v>01-Ene</v>
      </c>
    </row>
    <row r="826" spans="1:12" hidden="1" x14ac:dyDescent="0.3">
      <c r="A826" s="3">
        <v>44867</v>
      </c>
      <c r="B826" s="3">
        <v>44927</v>
      </c>
      <c r="C826" s="4">
        <f t="shared" si="24"/>
        <v>-17</v>
      </c>
      <c r="D826" s="5" t="s">
        <v>907</v>
      </c>
      <c r="E826" s="5">
        <v>20155261570</v>
      </c>
      <c r="F826" s="5" t="s">
        <v>355</v>
      </c>
      <c r="G826" s="5" t="s">
        <v>13</v>
      </c>
      <c r="H826" s="5" t="s">
        <v>7</v>
      </c>
      <c r="I826" s="31">
        <v>1847.88</v>
      </c>
      <c r="J826" s="31">
        <v>0</v>
      </c>
      <c r="K826" s="6" t="str">
        <f t="shared" si="25"/>
        <v>1-POR VENCER</v>
      </c>
      <c r="L826" s="7" t="str">
        <f>_xlfn.CONCAT(TEXT(MONTH(DATA[[#This Row],[FECHA DE VENCIMIENTO]]),"00"),"-",TEXT(DATA[[#This Row],[FECHA DE VENCIMIENTO]],"MMM"))</f>
        <v>01-Ene</v>
      </c>
    </row>
    <row r="827" spans="1:12" hidden="1" x14ac:dyDescent="0.3">
      <c r="A827" s="3">
        <v>44897</v>
      </c>
      <c r="B827" s="3">
        <v>44927</v>
      </c>
      <c r="C827" s="4">
        <f t="shared" si="24"/>
        <v>-17</v>
      </c>
      <c r="D827" s="5" t="s">
        <v>1096</v>
      </c>
      <c r="E827" s="5">
        <v>20600612671</v>
      </c>
      <c r="F827" s="5" t="s">
        <v>1097</v>
      </c>
      <c r="G827" s="5" t="s">
        <v>13</v>
      </c>
      <c r="H827" s="5" t="s">
        <v>29</v>
      </c>
      <c r="I827" s="31">
        <v>0</v>
      </c>
      <c r="J827" s="31">
        <v>166.38</v>
      </c>
      <c r="K827" s="6" t="str">
        <f t="shared" si="25"/>
        <v>1-POR VENCER</v>
      </c>
      <c r="L827" s="7" t="str">
        <f>_xlfn.CONCAT(TEXT(MONTH(DATA[[#This Row],[FECHA DE VENCIMIENTO]]),"00"),"-",TEXT(DATA[[#This Row],[FECHA DE VENCIMIENTO]],"MMM"))</f>
        <v>01-Ene</v>
      </c>
    </row>
    <row r="828" spans="1:12" hidden="1" x14ac:dyDescent="0.3">
      <c r="A828" s="3">
        <v>44897</v>
      </c>
      <c r="B828" s="3">
        <v>44927</v>
      </c>
      <c r="C828" s="4">
        <f t="shared" si="24"/>
        <v>-17</v>
      </c>
      <c r="D828" s="5" t="s">
        <v>1098</v>
      </c>
      <c r="E828" s="5">
        <v>20600612671</v>
      </c>
      <c r="F828" s="5" t="s">
        <v>1097</v>
      </c>
      <c r="G828" s="5" t="s">
        <v>13</v>
      </c>
      <c r="H828" s="5" t="s">
        <v>7</v>
      </c>
      <c r="I828" s="31">
        <v>1026.5999999999999</v>
      </c>
      <c r="J828" s="31">
        <v>0</v>
      </c>
      <c r="K828" s="6" t="str">
        <f t="shared" si="25"/>
        <v>1-POR VENCER</v>
      </c>
      <c r="L828" s="7" t="str">
        <f>_xlfn.CONCAT(TEXT(MONTH(DATA[[#This Row],[FECHA DE VENCIMIENTO]]),"00"),"-",TEXT(DATA[[#This Row],[FECHA DE VENCIMIENTO]],"MMM"))</f>
        <v>01-Ene</v>
      </c>
    </row>
    <row r="829" spans="1:12" ht="31.2" hidden="1" x14ac:dyDescent="0.3">
      <c r="A829" s="3">
        <v>44882</v>
      </c>
      <c r="B829" s="3">
        <v>44927</v>
      </c>
      <c r="C829" s="4">
        <f t="shared" si="24"/>
        <v>-17</v>
      </c>
      <c r="D829" s="5" t="s">
        <v>1111</v>
      </c>
      <c r="E829" s="5">
        <v>20393514630</v>
      </c>
      <c r="F829" s="5" t="s">
        <v>1108</v>
      </c>
      <c r="G829" s="5" t="s">
        <v>46</v>
      </c>
      <c r="H829" s="5" t="s">
        <v>7</v>
      </c>
      <c r="I829" s="31">
        <v>22715</v>
      </c>
      <c r="J829" s="31">
        <v>0</v>
      </c>
      <c r="K829" s="6" t="str">
        <f t="shared" si="25"/>
        <v>1-POR VENCER</v>
      </c>
      <c r="L829" s="7" t="str">
        <f>_xlfn.CONCAT(TEXT(MONTH(DATA[[#This Row],[FECHA DE VENCIMIENTO]]),"00"),"-",TEXT(DATA[[#This Row],[FECHA DE VENCIMIENTO]],"MMM"))</f>
        <v>01-Ene</v>
      </c>
    </row>
    <row r="830" spans="1:12" hidden="1" x14ac:dyDescent="0.3">
      <c r="A830" s="3">
        <v>44867</v>
      </c>
      <c r="B830" s="3">
        <v>44927</v>
      </c>
      <c r="C830" s="4">
        <f t="shared" si="24"/>
        <v>-17</v>
      </c>
      <c r="D830" s="5" t="s">
        <v>1261</v>
      </c>
      <c r="E830" s="5">
        <v>20505120702</v>
      </c>
      <c r="F830" s="5" t="s">
        <v>1259</v>
      </c>
      <c r="G830" s="5" t="s">
        <v>58</v>
      </c>
      <c r="H830" s="5" t="s">
        <v>7</v>
      </c>
      <c r="I830" s="31">
        <v>3492.8</v>
      </c>
      <c r="J830" s="31">
        <v>0</v>
      </c>
      <c r="K830" s="6" t="str">
        <f t="shared" si="25"/>
        <v>1-POR VENCER</v>
      </c>
      <c r="L830" s="7" t="str">
        <f>_xlfn.CONCAT(TEXT(MONTH(DATA[[#This Row],[FECHA DE VENCIMIENTO]]),"00"),"-",TEXT(DATA[[#This Row],[FECHA DE VENCIMIENTO]],"MMM"))</f>
        <v>01-Ene</v>
      </c>
    </row>
    <row r="831" spans="1:12" hidden="1" x14ac:dyDescent="0.3">
      <c r="A831" s="3">
        <v>44867</v>
      </c>
      <c r="B831" s="3">
        <v>44927</v>
      </c>
      <c r="C831" s="4">
        <f t="shared" si="24"/>
        <v>-17</v>
      </c>
      <c r="D831" s="5" t="s">
        <v>1279</v>
      </c>
      <c r="E831" s="5">
        <v>20609609711</v>
      </c>
      <c r="F831" s="5" t="s">
        <v>1272</v>
      </c>
      <c r="G831" s="5" t="s">
        <v>13</v>
      </c>
      <c r="H831" s="5" t="s">
        <v>7</v>
      </c>
      <c r="I831" s="31">
        <v>12155.53</v>
      </c>
      <c r="J831" s="31">
        <v>0</v>
      </c>
      <c r="K831" s="6" t="str">
        <f t="shared" si="25"/>
        <v>1-POR VENCER</v>
      </c>
      <c r="L831" s="7" t="str">
        <f>_xlfn.CONCAT(TEXT(MONTH(DATA[[#This Row],[FECHA DE VENCIMIENTO]]),"00"),"-",TEXT(DATA[[#This Row],[FECHA DE VENCIMIENTO]],"MMM"))</f>
        <v>01-Ene</v>
      </c>
    </row>
    <row r="832" spans="1:12" hidden="1" x14ac:dyDescent="0.3">
      <c r="A832" s="3">
        <v>44898</v>
      </c>
      <c r="B832" s="3">
        <v>44928</v>
      </c>
      <c r="C832" s="4">
        <f t="shared" si="24"/>
        <v>-18</v>
      </c>
      <c r="D832" s="5" t="s">
        <v>1093</v>
      </c>
      <c r="E832" s="5">
        <v>20131589086</v>
      </c>
      <c r="F832" s="5" t="s">
        <v>1088</v>
      </c>
      <c r="G832" s="5" t="s">
        <v>58</v>
      </c>
      <c r="H832" s="5" t="s">
        <v>29</v>
      </c>
      <c r="I832" s="31">
        <v>0</v>
      </c>
      <c r="J832" s="31">
        <v>157.24</v>
      </c>
      <c r="K832" s="6" t="str">
        <f t="shared" si="25"/>
        <v>1-POR VENCER</v>
      </c>
      <c r="L832" s="7" t="str">
        <f>_xlfn.CONCAT(TEXT(MONTH(DATA[[#This Row],[FECHA DE VENCIMIENTO]]),"00"),"-",TEXT(DATA[[#This Row],[FECHA DE VENCIMIENTO]],"MMM"))</f>
        <v>01-Ene</v>
      </c>
    </row>
    <row r="833" spans="1:12" hidden="1" x14ac:dyDescent="0.3">
      <c r="A833" s="3">
        <v>44869</v>
      </c>
      <c r="B833" s="3">
        <v>44929</v>
      </c>
      <c r="C833" s="4">
        <f t="shared" si="24"/>
        <v>-19</v>
      </c>
      <c r="D833" s="5" t="s">
        <v>877</v>
      </c>
      <c r="E833" s="5">
        <v>20506322708</v>
      </c>
      <c r="F833" s="5" t="s">
        <v>873</v>
      </c>
      <c r="G833" s="5" t="s">
        <v>13</v>
      </c>
      <c r="H833" s="5" t="s">
        <v>29</v>
      </c>
      <c r="I833" s="31">
        <v>0</v>
      </c>
      <c r="J833" s="31">
        <v>1222.01</v>
      </c>
      <c r="K833" s="6" t="str">
        <f t="shared" si="25"/>
        <v>1-POR VENCER</v>
      </c>
      <c r="L833" s="7" t="str">
        <f>_xlfn.CONCAT(TEXT(MONTH(DATA[[#This Row],[FECHA DE VENCIMIENTO]]),"00"),"-",TEXT(DATA[[#This Row],[FECHA DE VENCIMIENTO]],"MMM"))</f>
        <v>01-Ene</v>
      </c>
    </row>
    <row r="834" spans="1:12" hidden="1" x14ac:dyDescent="0.3">
      <c r="A834" s="3">
        <v>44900</v>
      </c>
      <c r="B834" s="3">
        <v>44930</v>
      </c>
      <c r="C834" s="4">
        <f t="shared" si="24"/>
        <v>-20</v>
      </c>
      <c r="D834" s="5" t="s">
        <v>460</v>
      </c>
      <c r="E834" s="5">
        <v>20555931914</v>
      </c>
      <c r="F834" s="5" t="s">
        <v>459</v>
      </c>
      <c r="G834" s="5" t="s">
        <v>16</v>
      </c>
      <c r="H834" s="5" t="s">
        <v>29</v>
      </c>
      <c r="I834" s="31">
        <v>0</v>
      </c>
      <c r="J834" s="31">
        <v>847.24</v>
      </c>
      <c r="K834" s="6" t="str">
        <f t="shared" si="25"/>
        <v>1-POR VENCER</v>
      </c>
      <c r="L834" s="7" t="str">
        <f>_xlfn.CONCAT(TEXT(MONTH(DATA[[#This Row],[FECHA DE VENCIMIENTO]]),"00"),"-",TEXT(DATA[[#This Row],[FECHA DE VENCIMIENTO]],"MMM"))</f>
        <v>01-Ene</v>
      </c>
    </row>
    <row r="835" spans="1:12" hidden="1" x14ac:dyDescent="0.3">
      <c r="A835" s="3">
        <v>44900</v>
      </c>
      <c r="B835" s="3">
        <v>44930</v>
      </c>
      <c r="C835" s="4">
        <f t="shared" si="24"/>
        <v>-20</v>
      </c>
      <c r="D835" s="5" t="s">
        <v>477</v>
      </c>
      <c r="E835" s="5">
        <v>20458642789</v>
      </c>
      <c r="F835" s="5" t="s">
        <v>478</v>
      </c>
      <c r="G835" s="5" t="s">
        <v>13</v>
      </c>
      <c r="H835" s="5" t="s">
        <v>29</v>
      </c>
      <c r="I835" s="31">
        <v>0</v>
      </c>
      <c r="J835" s="31">
        <v>1993.02</v>
      </c>
      <c r="K835" s="6" t="str">
        <f t="shared" si="25"/>
        <v>1-POR VENCER</v>
      </c>
      <c r="L835" s="7" t="str">
        <f>_xlfn.CONCAT(TEXT(MONTH(DATA[[#This Row],[FECHA DE VENCIMIENTO]]),"00"),"-",TEXT(DATA[[#This Row],[FECHA DE VENCIMIENTO]],"MMM"))</f>
        <v>01-Ene</v>
      </c>
    </row>
    <row r="836" spans="1:12" hidden="1" x14ac:dyDescent="0.3">
      <c r="A836" s="3">
        <v>44900</v>
      </c>
      <c r="B836" s="3">
        <v>44930</v>
      </c>
      <c r="C836" s="4">
        <f t="shared" ref="C836:C899" si="26">$E$2-B836</f>
        <v>-20</v>
      </c>
      <c r="D836" s="5" t="s">
        <v>500</v>
      </c>
      <c r="E836" s="5">
        <v>20320731314</v>
      </c>
      <c r="F836" s="5" t="s">
        <v>331</v>
      </c>
      <c r="G836" s="5" t="s">
        <v>16</v>
      </c>
      <c r="H836" s="5" t="s">
        <v>7</v>
      </c>
      <c r="I836" s="31">
        <v>17700</v>
      </c>
      <c r="J836" s="31">
        <v>0</v>
      </c>
      <c r="K836" s="6" t="str">
        <f t="shared" ref="K836:K899" si="27">IF(C836&gt;180,"180 &lt;= 360 DIAS",IF(C836&gt;90,"90 &lt;= 180 DIAS",IF(C836&gt;60,"60 &lt;= 90 DIAS",IF(C836&gt;30,"30 &lt;= 60 DIAS",IF(C836&gt;15,"15 &lt;= 30 DIAS","1-POR VENCER")))))</f>
        <v>1-POR VENCER</v>
      </c>
      <c r="L836" s="7" t="str">
        <f>_xlfn.CONCAT(TEXT(MONTH(DATA[[#This Row],[FECHA DE VENCIMIENTO]]),"00"),"-",TEXT(DATA[[#This Row],[FECHA DE VENCIMIENTO]],"MMM"))</f>
        <v>01-Ene</v>
      </c>
    </row>
    <row r="837" spans="1:12" hidden="1" x14ac:dyDescent="0.3">
      <c r="A837" s="3">
        <v>44900</v>
      </c>
      <c r="B837" s="3">
        <v>44930</v>
      </c>
      <c r="C837" s="4">
        <f t="shared" si="26"/>
        <v>-20</v>
      </c>
      <c r="D837" s="5" t="s">
        <v>548</v>
      </c>
      <c r="E837" s="5">
        <v>20104508023</v>
      </c>
      <c r="F837" s="5" t="s">
        <v>540</v>
      </c>
      <c r="G837" s="5" t="s">
        <v>13</v>
      </c>
      <c r="H837" s="5" t="s">
        <v>7</v>
      </c>
      <c r="I837" s="31">
        <v>11499.99</v>
      </c>
      <c r="J837" s="31">
        <v>0</v>
      </c>
      <c r="K837" s="6" t="str">
        <f t="shared" si="27"/>
        <v>1-POR VENCER</v>
      </c>
      <c r="L837" s="7" t="str">
        <f>_xlfn.CONCAT(TEXT(MONTH(DATA[[#This Row],[FECHA DE VENCIMIENTO]]),"00"),"-",TEXT(DATA[[#This Row],[FECHA DE VENCIMIENTO]],"MMM"))</f>
        <v>01-Ene</v>
      </c>
    </row>
    <row r="838" spans="1:12" hidden="1" x14ac:dyDescent="0.3">
      <c r="A838" s="3">
        <v>44900</v>
      </c>
      <c r="B838" s="3">
        <v>44930</v>
      </c>
      <c r="C838" s="4">
        <f t="shared" si="26"/>
        <v>-20</v>
      </c>
      <c r="D838" s="5" t="s">
        <v>549</v>
      </c>
      <c r="E838" s="5">
        <v>20104508023</v>
      </c>
      <c r="F838" s="5" t="s">
        <v>540</v>
      </c>
      <c r="G838" s="5" t="s">
        <v>13</v>
      </c>
      <c r="H838" s="5" t="s">
        <v>7</v>
      </c>
      <c r="I838" s="31">
        <v>353.24</v>
      </c>
      <c r="J838" s="31">
        <v>0</v>
      </c>
      <c r="K838" s="6" t="str">
        <f t="shared" si="27"/>
        <v>1-POR VENCER</v>
      </c>
      <c r="L838" s="7" t="str">
        <f>_xlfn.CONCAT(TEXT(MONTH(DATA[[#This Row],[FECHA DE VENCIMIENTO]]),"00"),"-",TEXT(DATA[[#This Row],[FECHA DE VENCIMIENTO]],"MMM"))</f>
        <v>01-Ene</v>
      </c>
    </row>
    <row r="839" spans="1:12" hidden="1" x14ac:dyDescent="0.3">
      <c r="A839" s="3">
        <v>44900</v>
      </c>
      <c r="B839" s="3">
        <v>44930</v>
      </c>
      <c r="C839" s="4">
        <f t="shared" si="26"/>
        <v>-20</v>
      </c>
      <c r="D839" s="5" t="s">
        <v>550</v>
      </c>
      <c r="E839" s="5">
        <v>20104508023</v>
      </c>
      <c r="F839" s="5" t="s">
        <v>540</v>
      </c>
      <c r="G839" s="5" t="s">
        <v>13</v>
      </c>
      <c r="H839" s="5" t="s">
        <v>7</v>
      </c>
      <c r="I839" s="31">
        <v>1015.58</v>
      </c>
      <c r="J839" s="31">
        <v>0</v>
      </c>
      <c r="K839" s="6" t="str">
        <f t="shared" si="27"/>
        <v>1-POR VENCER</v>
      </c>
      <c r="L839" s="7" t="str">
        <f>_xlfn.CONCAT(TEXT(MONTH(DATA[[#This Row],[FECHA DE VENCIMIENTO]]),"00"),"-",TEXT(DATA[[#This Row],[FECHA DE VENCIMIENTO]],"MMM"))</f>
        <v>01-Ene</v>
      </c>
    </row>
    <row r="840" spans="1:12" hidden="1" x14ac:dyDescent="0.3">
      <c r="A840" s="3">
        <v>44900</v>
      </c>
      <c r="B840" s="3">
        <v>44930</v>
      </c>
      <c r="C840" s="4">
        <f t="shared" si="26"/>
        <v>-20</v>
      </c>
      <c r="D840" s="5" t="s">
        <v>630</v>
      </c>
      <c r="E840" s="5">
        <v>20609301121</v>
      </c>
      <c r="F840" s="5" t="s">
        <v>631</v>
      </c>
      <c r="G840" s="5" t="s">
        <v>16</v>
      </c>
      <c r="H840" s="5" t="s">
        <v>7</v>
      </c>
      <c r="I840" s="31">
        <v>1386.74</v>
      </c>
      <c r="J840" s="31">
        <v>0</v>
      </c>
      <c r="K840" s="6" t="str">
        <f t="shared" si="27"/>
        <v>1-POR VENCER</v>
      </c>
      <c r="L840" s="7" t="str">
        <f>_xlfn.CONCAT(TEXT(MONTH(DATA[[#This Row],[FECHA DE VENCIMIENTO]]),"00"),"-",TEXT(DATA[[#This Row],[FECHA DE VENCIMIENTO]],"MMM"))</f>
        <v>01-Ene</v>
      </c>
    </row>
    <row r="841" spans="1:12" ht="31.2" hidden="1" x14ac:dyDescent="0.3">
      <c r="A841" s="3">
        <v>44900</v>
      </c>
      <c r="B841" s="3">
        <v>44930</v>
      </c>
      <c r="C841" s="4">
        <f t="shared" si="26"/>
        <v>-20</v>
      </c>
      <c r="D841" s="5" t="s">
        <v>682</v>
      </c>
      <c r="E841" s="5">
        <v>20555873531</v>
      </c>
      <c r="F841" s="5" t="s">
        <v>683</v>
      </c>
      <c r="G841" s="5" t="s">
        <v>46</v>
      </c>
      <c r="H841" s="5" t="s">
        <v>29</v>
      </c>
      <c r="I841" s="31">
        <v>0</v>
      </c>
      <c r="J841" s="31">
        <v>346.92</v>
      </c>
      <c r="K841" s="6" t="str">
        <f t="shared" si="27"/>
        <v>1-POR VENCER</v>
      </c>
      <c r="L841" s="7" t="str">
        <f>_xlfn.CONCAT(TEXT(MONTH(DATA[[#This Row],[FECHA DE VENCIMIENTO]]),"00"),"-",TEXT(DATA[[#This Row],[FECHA DE VENCIMIENTO]],"MMM"))</f>
        <v>01-Ene</v>
      </c>
    </row>
    <row r="842" spans="1:12" hidden="1" x14ac:dyDescent="0.3">
      <c r="A842" s="3">
        <v>44900</v>
      </c>
      <c r="B842" s="3">
        <v>44930</v>
      </c>
      <c r="C842" s="4">
        <f t="shared" si="26"/>
        <v>-20</v>
      </c>
      <c r="D842" s="5" t="s">
        <v>718</v>
      </c>
      <c r="E842" s="5">
        <v>20604400679</v>
      </c>
      <c r="F842" s="5" t="s">
        <v>717</v>
      </c>
      <c r="G842" s="5" t="s">
        <v>16</v>
      </c>
      <c r="H842" s="5" t="s">
        <v>29</v>
      </c>
      <c r="I842" s="31">
        <v>0</v>
      </c>
      <c r="J842" s="31">
        <v>285.08999999999997</v>
      </c>
      <c r="K842" s="6" t="str">
        <f t="shared" si="27"/>
        <v>1-POR VENCER</v>
      </c>
      <c r="L842" s="7" t="str">
        <f>_xlfn.CONCAT(TEXT(MONTH(DATA[[#This Row],[FECHA DE VENCIMIENTO]]),"00"),"-",TEXT(DATA[[#This Row],[FECHA DE VENCIMIENTO]],"MMM"))</f>
        <v>01-Ene</v>
      </c>
    </row>
    <row r="843" spans="1:12" hidden="1" x14ac:dyDescent="0.3">
      <c r="A843" s="3">
        <v>44900</v>
      </c>
      <c r="B843" s="3">
        <v>44930</v>
      </c>
      <c r="C843" s="4">
        <f t="shared" si="26"/>
        <v>-20</v>
      </c>
      <c r="D843" s="5" t="s">
        <v>963</v>
      </c>
      <c r="E843" s="5">
        <v>20534627310</v>
      </c>
      <c r="F843" s="5" t="s">
        <v>957</v>
      </c>
      <c r="G843" s="5" t="s">
        <v>13</v>
      </c>
      <c r="H843" s="5" t="s">
        <v>7</v>
      </c>
      <c r="I843" s="31">
        <v>5715.92</v>
      </c>
      <c r="J843" s="31">
        <v>0</v>
      </c>
      <c r="K843" s="6" t="str">
        <f t="shared" si="27"/>
        <v>1-POR VENCER</v>
      </c>
      <c r="L843" s="7" t="str">
        <f>_xlfn.CONCAT(TEXT(MONTH(DATA[[#This Row],[FECHA DE VENCIMIENTO]]),"00"),"-",TEXT(DATA[[#This Row],[FECHA DE VENCIMIENTO]],"MMM"))</f>
        <v>01-Ene</v>
      </c>
    </row>
    <row r="844" spans="1:12" hidden="1" x14ac:dyDescent="0.3">
      <c r="A844" s="3">
        <v>44900</v>
      </c>
      <c r="B844" s="3">
        <v>44930</v>
      </c>
      <c r="C844" s="4">
        <f t="shared" si="26"/>
        <v>-20</v>
      </c>
      <c r="D844" s="5" t="s">
        <v>964</v>
      </c>
      <c r="E844" s="5">
        <v>20534627310</v>
      </c>
      <c r="F844" s="5" t="s">
        <v>957</v>
      </c>
      <c r="G844" s="5" t="s">
        <v>13</v>
      </c>
      <c r="H844" s="5" t="s">
        <v>7</v>
      </c>
      <c r="I844" s="31">
        <v>10199.92</v>
      </c>
      <c r="J844" s="31">
        <v>0</v>
      </c>
      <c r="K844" s="6" t="str">
        <f t="shared" si="27"/>
        <v>1-POR VENCER</v>
      </c>
      <c r="L844" s="7" t="str">
        <f>_xlfn.CONCAT(TEXT(MONTH(DATA[[#This Row],[FECHA DE VENCIMIENTO]]),"00"),"-",TEXT(DATA[[#This Row],[FECHA DE VENCIMIENTO]],"MMM"))</f>
        <v>01-Ene</v>
      </c>
    </row>
    <row r="845" spans="1:12" hidden="1" x14ac:dyDescent="0.3">
      <c r="A845" s="3">
        <v>44900</v>
      </c>
      <c r="B845" s="3">
        <v>44930</v>
      </c>
      <c r="C845" s="4">
        <f t="shared" si="26"/>
        <v>-20</v>
      </c>
      <c r="D845" s="5" t="s">
        <v>1091</v>
      </c>
      <c r="E845" s="5">
        <v>20131589086</v>
      </c>
      <c r="F845" s="5" t="s">
        <v>1088</v>
      </c>
      <c r="G845" s="5" t="s">
        <v>58</v>
      </c>
      <c r="H845" s="5" t="s">
        <v>29</v>
      </c>
      <c r="I845" s="31">
        <v>0</v>
      </c>
      <c r="J845" s="31">
        <v>531</v>
      </c>
      <c r="K845" s="6" t="str">
        <f t="shared" si="27"/>
        <v>1-POR VENCER</v>
      </c>
      <c r="L845" s="7" t="str">
        <f>_xlfn.CONCAT(TEXT(MONTH(DATA[[#This Row],[FECHA DE VENCIMIENTO]]),"00"),"-",TEXT(DATA[[#This Row],[FECHA DE VENCIMIENTO]],"MMM"))</f>
        <v>01-Ene</v>
      </c>
    </row>
    <row r="846" spans="1:12" hidden="1" x14ac:dyDescent="0.3">
      <c r="A846" s="3">
        <v>44900</v>
      </c>
      <c r="B846" s="3">
        <v>44930</v>
      </c>
      <c r="C846" s="4">
        <f t="shared" si="26"/>
        <v>-20</v>
      </c>
      <c r="D846" s="5" t="s">
        <v>1092</v>
      </c>
      <c r="E846" s="5">
        <v>20131589086</v>
      </c>
      <c r="F846" s="5" t="s">
        <v>1088</v>
      </c>
      <c r="G846" s="5" t="s">
        <v>58</v>
      </c>
      <c r="H846" s="5" t="s">
        <v>29</v>
      </c>
      <c r="I846" s="31">
        <v>0</v>
      </c>
      <c r="J846" s="31">
        <v>1770</v>
      </c>
      <c r="K846" s="6" t="str">
        <f t="shared" si="27"/>
        <v>1-POR VENCER</v>
      </c>
      <c r="L846" s="7" t="str">
        <f>_xlfn.CONCAT(TEXT(MONTH(DATA[[#This Row],[FECHA DE VENCIMIENTO]]),"00"),"-",TEXT(DATA[[#This Row],[FECHA DE VENCIMIENTO]],"MMM"))</f>
        <v>01-Ene</v>
      </c>
    </row>
    <row r="847" spans="1:12" hidden="1" x14ac:dyDescent="0.3">
      <c r="A847" s="3">
        <v>44900</v>
      </c>
      <c r="B847" s="3">
        <v>44930</v>
      </c>
      <c r="C847" s="4">
        <f t="shared" si="26"/>
        <v>-20</v>
      </c>
      <c r="D847" s="5" t="s">
        <v>1209</v>
      </c>
      <c r="E847" s="5">
        <v>20491358743</v>
      </c>
      <c r="F847" s="5" t="s">
        <v>1208</v>
      </c>
      <c r="G847" s="5" t="s">
        <v>13</v>
      </c>
      <c r="H847" s="5" t="s">
        <v>29</v>
      </c>
      <c r="I847" s="31">
        <v>0</v>
      </c>
      <c r="J847" s="31">
        <v>1540.44</v>
      </c>
      <c r="K847" s="6" t="str">
        <f t="shared" si="27"/>
        <v>1-POR VENCER</v>
      </c>
      <c r="L847" s="7" t="str">
        <f>_xlfn.CONCAT(TEXT(MONTH(DATA[[#This Row],[FECHA DE VENCIMIENTO]]),"00"),"-",TEXT(DATA[[#This Row],[FECHA DE VENCIMIENTO]],"MMM"))</f>
        <v>01-Ene</v>
      </c>
    </row>
    <row r="848" spans="1:12" hidden="1" x14ac:dyDescent="0.3">
      <c r="A848" s="3">
        <v>44900</v>
      </c>
      <c r="B848" s="3">
        <v>44930</v>
      </c>
      <c r="C848" s="4">
        <f t="shared" si="26"/>
        <v>-20</v>
      </c>
      <c r="D848" s="5" t="s">
        <v>1253</v>
      </c>
      <c r="E848" s="5">
        <v>20509090697</v>
      </c>
      <c r="F848" s="5" t="s">
        <v>1254</v>
      </c>
      <c r="G848" s="5" t="s">
        <v>16</v>
      </c>
      <c r="H848" s="5" t="s">
        <v>7</v>
      </c>
      <c r="I848" s="31">
        <v>1939.78</v>
      </c>
      <c r="J848" s="31">
        <v>0</v>
      </c>
      <c r="K848" s="6" t="str">
        <f t="shared" si="27"/>
        <v>1-POR VENCER</v>
      </c>
      <c r="L848" s="7" t="str">
        <f>_xlfn.CONCAT(TEXT(MONTH(DATA[[#This Row],[FECHA DE VENCIMIENTO]]),"00"),"-",TEXT(DATA[[#This Row],[FECHA DE VENCIMIENTO]],"MMM"))</f>
        <v>01-Ene</v>
      </c>
    </row>
    <row r="849" spans="1:12" ht="31.2" hidden="1" x14ac:dyDescent="0.3">
      <c r="A849" s="3">
        <v>44901</v>
      </c>
      <c r="B849" s="3">
        <v>44931</v>
      </c>
      <c r="C849" s="4">
        <f t="shared" si="26"/>
        <v>-21</v>
      </c>
      <c r="D849" s="5" t="s">
        <v>445</v>
      </c>
      <c r="E849" s="5">
        <v>20608551264</v>
      </c>
      <c r="F849" s="5" t="s">
        <v>444</v>
      </c>
      <c r="G849" s="5" t="s">
        <v>46</v>
      </c>
      <c r="H849" s="5" t="s">
        <v>7</v>
      </c>
      <c r="I849" s="31">
        <v>8977.7900000000009</v>
      </c>
      <c r="J849" s="31">
        <v>0</v>
      </c>
      <c r="K849" s="6" t="str">
        <f t="shared" si="27"/>
        <v>1-POR VENCER</v>
      </c>
      <c r="L849" s="7" t="str">
        <f>_xlfn.CONCAT(TEXT(MONTH(DATA[[#This Row],[FECHA DE VENCIMIENTO]]),"00"),"-",TEXT(DATA[[#This Row],[FECHA DE VENCIMIENTO]],"MMM"))</f>
        <v>01-Ene</v>
      </c>
    </row>
    <row r="850" spans="1:12" hidden="1" x14ac:dyDescent="0.3">
      <c r="A850" s="3">
        <v>44901</v>
      </c>
      <c r="B850" s="3">
        <v>44931</v>
      </c>
      <c r="C850" s="4">
        <f t="shared" si="26"/>
        <v>-21</v>
      </c>
      <c r="D850" s="5" t="s">
        <v>1119</v>
      </c>
      <c r="E850" s="5">
        <v>20481460159</v>
      </c>
      <c r="F850" s="5" t="s">
        <v>1120</v>
      </c>
      <c r="G850" s="5" t="s">
        <v>58</v>
      </c>
      <c r="H850" s="5" t="s">
        <v>7</v>
      </c>
      <c r="I850" s="31">
        <v>1515.77</v>
      </c>
      <c r="J850" s="31">
        <v>0</v>
      </c>
      <c r="K850" s="6" t="str">
        <f t="shared" si="27"/>
        <v>1-POR VENCER</v>
      </c>
      <c r="L850" s="7" t="str">
        <f>_xlfn.CONCAT(TEXT(MONTH(DATA[[#This Row],[FECHA DE VENCIMIENTO]]),"00"),"-",TEXT(DATA[[#This Row],[FECHA DE VENCIMIENTO]],"MMM"))</f>
        <v>01-Ene</v>
      </c>
    </row>
    <row r="851" spans="1:12" hidden="1" x14ac:dyDescent="0.3">
      <c r="A851" s="3">
        <v>44816</v>
      </c>
      <c r="B851" s="3">
        <v>44931</v>
      </c>
      <c r="C851" s="4">
        <f t="shared" si="26"/>
        <v>-21</v>
      </c>
      <c r="D851" s="5" t="s">
        <v>1232</v>
      </c>
      <c r="E851" s="5">
        <v>20100154308</v>
      </c>
      <c r="F851" s="5" t="s">
        <v>1217</v>
      </c>
      <c r="G851" s="5" t="s">
        <v>16</v>
      </c>
      <c r="H851" s="5" t="s">
        <v>7</v>
      </c>
      <c r="I851" s="31">
        <v>5960.18</v>
      </c>
      <c r="J851" s="31">
        <v>0</v>
      </c>
      <c r="K851" s="6" t="str">
        <f t="shared" si="27"/>
        <v>1-POR VENCER</v>
      </c>
      <c r="L851" s="7" t="str">
        <f>_xlfn.CONCAT(TEXT(MONTH(DATA[[#This Row],[FECHA DE VENCIMIENTO]]),"00"),"-",TEXT(DATA[[#This Row],[FECHA DE VENCIMIENTO]],"MMM"))</f>
        <v>01-Ene</v>
      </c>
    </row>
    <row r="852" spans="1:12" hidden="1" x14ac:dyDescent="0.3">
      <c r="A852" s="3">
        <v>44902</v>
      </c>
      <c r="B852" s="3">
        <v>44932</v>
      </c>
      <c r="C852" s="4">
        <f t="shared" si="26"/>
        <v>-22</v>
      </c>
      <c r="D852" s="5" t="s">
        <v>441</v>
      </c>
      <c r="E852" s="5">
        <v>20449226144</v>
      </c>
      <c r="F852" s="5" t="s">
        <v>442</v>
      </c>
      <c r="G852" s="5" t="s">
        <v>33</v>
      </c>
      <c r="H852" s="5" t="s">
        <v>7</v>
      </c>
      <c r="I852" s="31">
        <v>3079.8</v>
      </c>
      <c r="J852" s="31">
        <v>0</v>
      </c>
      <c r="K852" s="6" t="str">
        <f t="shared" si="27"/>
        <v>1-POR VENCER</v>
      </c>
      <c r="L852" s="7" t="str">
        <f>_xlfn.CONCAT(TEXT(MONTH(DATA[[#This Row],[FECHA DE VENCIMIENTO]]),"00"),"-",TEXT(DATA[[#This Row],[FECHA DE VENCIMIENTO]],"MMM"))</f>
        <v>01-Ene</v>
      </c>
    </row>
    <row r="853" spans="1:12" ht="31.2" hidden="1" x14ac:dyDescent="0.3">
      <c r="A853" s="3">
        <v>44902</v>
      </c>
      <c r="B853" s="3">
        <v>44932</v>
      </c>
      <c r="C853" s="4">
        <f t="shared" si="26"/>
        <v>-22</v>
      </c>
      <c r="D853" s="5" t="s">
        <v>443</v>
      </c>
      <c r="E853" s="5">
        <v>20608551264</v>
      </c>
      <c r="F853" s="5" t="s">
        <v>444</v>
      </c>
      <c r="G853" s="5" t="s">
        <v>46</v>
      </c>
      <c r="H853" s="5" t="s">
        <v>7</v>
      </c>
      <c r="I853" s="31">
        <v>11181.4</v>
      </c>
      <c r="J853" s="31">
        <v>0</v>
      </c>
      <c r="K853" s="6" t="str">
        <f t="shared" si="27"/>
        <v>1-POR VENCER</v>
      </c>
      <c r="L853" s="7" t="str">
        <f>_xlfn.CONCAT(TEXT(MONTH(DATA[[#This Row],[FECHA DE VENCIMIENTO]]),"00"),"-",TEXT(DATA[[#This Row],[FECHA DE VENCIMIENTO]],"MMM"))</f>
        <v>01-Ene</v>
      </c>
    </row>
    <row r="854" spans="1:12" ht="31.2" hidden="1" x14ac:dyDescent="0.3">
      <c r="A854" s="3">
        <v>44902</v>
      </c>
      <c r="B854" s="3">
        <v>44932</v>
      </c>
      <c r="C854" s="4">
        <f t="shared" si="26"/>
        <v>-22</v>
      </c>
      <c r="D854" s="5" t="s">
        <v>479</v>
      </c>
      <c r="E854" s="5">
        <v>20450489698</v>
      </c>
      <c r="F854" s="5" t="s">
        <v>480</v>
      </c>
      <c r="G854" s="5" t="s">
        <v>46</v>
      </c>
      <c r="H854" s="5" t="s">
        <v>7</v>
      </c>
      <c r="I854" s="31">
        <v>1873.84</v>
      </c>
      <c r="J854" s="31">
        <v>0</v>
      </c>
      <c r="K854" s="6" t="str">
        <f t="shared" si="27"/>
        <v>1-POR VENCER</v>
      </c>
      <c r="L854" s="7" t="str">
        <f>_xlfn.CONCAT(TEXT(MONTH(DATA[[#This Row],[FECHA DE VENCIMIENTO]]),"00"),"-",TEXT(DATA[[#This Row],[FECHA DE VENCIMIENTO]],"MMM"))</f>
        <v>01-Ene</v>
      </c>
    </row>
    <row r="855" spans="1:12" ht="31.2" hidden="1" x14ac:dyDescent="0.3">
      <c r="A855" s="3">
        <v>44902</v>
      </c>
      <c r="B855" s="3">
        <v>44932</v>
      </c>
      <c r="C855" s="4">
        <f t="shared" si="26"/>
        <v>-22</v>
      </c>
      <c r="D855" s="5" t="s">
        <v>555</v>
      </c>
      <c r="E855" s="5">
        <v>20607517747</v>
      </c>
      <c r="F855" s="5" t="s">
        <v>554</v>
      </c>
      <c r="G855" s="5" t="s">
        <v>46</v>
      </c>
      <c r="H855" s="5" t="s">
        <v>29</v>
      </c>
      <c r="I855" s="31">
        <v>0</v>
      </c>
      <c r="J855" s="31">
        <v>188.8</v>
      </c>
      <c r="K855" s="6" t="str">
        <f t="shared" si="27"/>
        <v>1-POR VENCER</v>
      </c>
      <c r="L855" s="7" t="str">
        <f>_xlfn.CONCAT(TEXT(MONTH(DATA[[#This Row],[FECHA DE VENCIMIENTO]]),"00"),"-",TEXT(DATA[[#This Row],[FECHA DE VENCIMIENTO]],"MMM"))</f>
        <v>01-Ene</v>
      </c>
    </row>
    <row r="856" spans="1:12" hidden="1" x14ac:dyDescent="0.3">
      <c r="A856" s="3">
        <v>44902</v>
      </c>
      <c r="B856" s="3">
        <v>44932</v>
      </c>
      <c r="C856" s="4">
        <f t="shared" si="26"/>
        <v>-22</v>
      </c>
      <c r="D856" s="5" t="s">
        <v>609</v>
      </c>
      <c r="E856" s="5">
        <v>20600678397</v>
      </c>
      <c r="F856" s="5" t="s">
        <v>607</v>
      </c>
      <c r="G856" s="5" t="s">
        <v>33</v>
      </c>
      <c r="H856" s="5" t="s">
        <v>7</v>
      </c>
      <c r="I856" s="31">
        <v>41418</v>
      </c>
      <c r="J856" s="31">
        <v>0</v>
      </c>
      <c r="K856" s="6" t="str">
        <f t="shared" si="27"/>
        <v>1-POR VENCER</v>
      </c>
      <c r="L856" s="7" t="str">
        <f>_xlfn.CONCAT(TEXT(MONTH(DATA[[#This Row],[FECHA DE VENCIMIENTO]]),"00"),"-",TEXT(DATA[[#This Row],[FECHA DE VENCIMIENTO]],"MMM"))</f>
        <v>01-Ene</v>
      </c>
    </row>
    <row r="857" spans="1:12" hidden="1" x14ac:dyDescent="0.3">
      <c r="A857" s="3">
        <v>44872</v>
      </c>
      <c r="B857" s="3">
        <v>44932</v>
      </c>
      <c r="C857" s="4">
        <f t="shared" si="26"/>
        <v>-22</v>
      </c>
      <c r="D857" s="5" t="s">
        <v>709</v>
      </c>
      <c r="E857" s="5">
        <v>20132373958</v>
      </c>
      <c r="F857" s="5" t="s">
        <v>697</v>
      </c>
      <c r="G857" s="5" t="s">
        <v>58</v>
      </c>
      <c r="H857" s="5" t="s">
        <v>29</v>
      </c>
      <c r="I857" s="31">
        <v>0</v>
      </c>
      <c r="J857" s="31">
        <v>52288.160000000003</v>
      </c>
      <c r="K857" s="6" t="str">
        <f t="shared" si="27"/>
        <v>1-POR VENCER</v>
      </c>
      <c r="L857" s="7" t="str">
        <f>_xlfn.CONCAT(TEXT(MONTH(DATA[[#This Row],[FECHA DE VENCIMIENTO]]),"00"),"-",TEXT(DATA[[#This Row],[FECHA DE VENCIMIENTO]],"MMM"))</f>
        <v>01-Ene</v>
      </c>
    </row>
    <row r="858" spans="1:12" hidden="1" x14ac:dyDescent="0.3">
      <c r="A858" s="3">
        <v>44872</v>
      </c>
      <c r="B858" s="3">
        <v>44932</v>
      </c>
      <c r="C858" s="4">
        <f t="shared" si="26"/>
        <v>-22</v>
      </c>
      <c r="D858" s="5" t="s">
        <v>737</v>
      </c>
      <c r="E858" s="5">
        <v>20506421781</v>
      </c>
      <c r="F858" s="5" t="s">
        <v>735</v>
      </c>
      <c r="G858" s="5" t="s">
        <v>33</v>
      </c>
      <c r="H858" s="5" t="s">
        <v>29</v>
      </c>
      <c r="I858" s="31">
        <v>0</v>
      </c>
      <c r="J858" s="31">
        <v>8424.2099999999991</v>
      </c>
      <c r="K858" s="6" t="str">
        <f t="shared" si="27"/>
        <v>1-POR VENCER</v>
      </c>
      <c r="L858" s="7" t="str">
        <f>_xlfn.CONCAT(TEXT(MONTH(DATA[[#This Row],[FECHA DE VENCIMIENTO]]),"00"),"-",TEXT(DATA[[#This Row],[FECHA DE VENCIMIENTO]],"MMM"))</f>
        <v>01-Ene</v>
      </c>
    </row>
    <row r="859" spans="1:12" hidden="1" x14ac:dyDescent="0.3">
      <c r="A859" s="3">
        <v>44872</v>
      </c>
      <c r="B859" s="3">
        <v>44932</v>
      </c>
      <c r="C859" s="4">
        <f t="shared" si="26"/>
        <v>-22</v>
      </c>
      <c r="D859" s="5" t="s">
        <v>738</v>
      </c>
      <c r="E859" s="5">
        <v>20506421781</v>
      </c>
      <c r="F859" s="5" t="s">
        <v>735</v>
      </c>
      <c r="G859" s="5" t="s">
        <v>33</v>
      </c>
      <c r="H859" s="5" t="s">
        <v>29</v>
      </c>
      <c r="I859" s="31">
        <v>0</v>
      </c>
      <c r="J859" s="31">
        <v>6329.33</v>
      </c>
      <c r="K859" s="6" t="str">
        <f t="shared" si="27"/>
        <v>1-POR VENCER</v>
      </c>
      <c r="L859" s="7" t="str">
        <f>_xlfn.CONCAT(TEXT(MONTH(DATA[[#This Row],[FECHA DE VENCIMIENTO]]),"00"),"-",TEXT(DATA[[#This Row],[FECHA DE VENCIMIENTO]],"MMM"))</f>
        <v>01-Ene</v>
      </c>
    </row>
    <row r="860" spans="1:12" ht="31.2" hidden="1" x14ac:dyDescent="0.3">
      <c r="A860" s="3">
        <v>44872</v>
      </c>
      <c r="B860" s="3">
        <v>44932</v>
      </c>
      <c r="C860" s="4">
        <f t="shared" si="26"/>
        <v>-22</v>
      </c>
      <c r="D860" s="5" t="s">
        <v>760</v>
      </c>
      <c r="E860" s="5">
        <v>20494022797</v>
      </c>
      <c r="F860" s="5" t="s">
        <v>377</v>
      </c>
      <c r="G860" s="5" t="s">
        <v>46</v>
      </c>
      <c r="H860" s="5" t="s">
        <v>7</v>
      </c>
      <c r="I860" s="31">
        <v>6473.78</v>
      </c>
      <c r="J860" s="31">
        <v>0</v>
      </c>
      <c r="K860" s="6" t="str">
        <f t="shared" si="27"/>
        <v>1-POR VENCER</v>
      </c>
      <c r="L860" s="7" t="str">
        <f>_xlfn.CONCAT(TEXT(MONTH(DATA[[#This Row],[FECHA DE VENCIMIENTO]]),"00"),"-",TEXT(DATA[[#This Row],[FECHA DE VENCIMIENTO]],"MMM"))</f>
        <v>01-Ene</v>
      </c>
    </row>
    <row r="861" spans="1:12" ht="31.2" hidden="1" x14ac:dyDescent="0.3">
      <c r="A861" s="3">
        <v>44872</v>
      </c>
      <c r="B861" s="3">
        <v>44932</v>
      </c>
      <c r="C861" s="4">
        <f t="shared" si="26"/>
        <v>-22</v>
      </c>
      <c r="D861" s="5" t="s">
        <v>761</v>
      </c>
      <c r="E861" s="5">
        <v>20494022797</v>
      </c>
      <c r="F861" s="5" t="s">
        <v>377</v>
      </c>
      <c r="G861" s="5" t="s">
        <v>46</v>
      </c>
      <c r="H861" s="5" t="s">
        <v>7</v>
      </c>
      <c r="I861" s="31">
        <v>15742.11</v>
      </c>
      <c r="J861" s="31">
        <v>0</v>
      </c>
      <c r="K861" s="6" t="str">
        <f t="shared" si="27"/>
        <v>1-POR VENCER</v>
      </c>
      <c r="L861" s="7" t="str">
        <f>_xlfn.CONCAT(TEXT(MONTH(DATA[[#This Row],[FECHA DE VENCIMIENTO]]),"00"),"-",TEXT(DATA[[#This Row],[FECHA DE VENCIMIENTO]],"MMM"))</f>
        <v>01-Ene</v>
      </c>
    </row>
    <row r="862" spans="1:12" ht="31.2" hidden="1" x14ac:dyDescent="0.3">
      <c r="A862" s="3">
        <v>44872</v>
      </c>
      <c r="B862" s="3">
        <v>44932</v>
      </c>
      <c r="C862" s="4">
        <f t="shared" si="26"/>
        <v>-22</v>
      </c>
      <c r="D862" s="5" t="s">
        <v>766</v>
      </c>
      <c r="E862" s="5">
        <v>20494022797</v>
      </c>
      <c r="F862" s="5" t="s">
        <v>377</v>
      </c>
      <c r="G862" s="5" t="s">
        <v>46</v>
      </c>
      <c r="H862" s="5" t="s">
        <v>29</v>
      </c>
      <c r="I862" s="31">
        <v>0</v>
      </c>
      <c r="J862" s="31">
        <v>122.72</v>
      </c>
      <c r="K862" s="6" t="str">
        <f t="shared" si="27"/>
        <v>1-POR VENCER</v>
      </c>
      <c r="L862" s="7" t="str">
        <f>_xlfn.CONCAT(TEXT(MONTH(DATA[[#This Row],[FECHA DE VENCIMIENTO]]),"00"),"-",TEXT(DATA[[#This Row],[FECHA DE VENCIMIENTO]],"MMM"))</f>
        <v>01-Ene</v>
      </c>
    </row>
    <row r="863" spans="1:12" ht="31.2" hidden="1" x14ac:dyDescent="0.3">
      <c r="A863" s="3">
        <v>44902</v>
      </c>
      <c r="B863" s="3">
        <v>44932</v>
      </c>
      <c r="C863" s="4">
        <f t="shared" si="26"/>
        <v>-22</v>
      </c>
      <c r="D863" s="5" t="s">
        <v>979</v>
      </c>
      <c r="E863" s="5">
        <v>20393719100</v>
      </c>
      <c r="F863" s="5" t="s">
        <v>976</v>
      </c>
      <c r="G863" s="5" t="s">
        <v>46</v>
      </c>
      <c r="H863" s="5" t="s">
        <v>7</v>
      </c>
      <c r="I863" s="31">
        <v>1368.8</v>
      </c>
      <c r="J863" s="31">
        <v>0</v>
      </c>
      <c r="K863" s="6" t="str">
        <f t="shared" si="27"/>
        <v>1-POR VENCER</v>
      </c>
      <c r="L863" s="7" t="str">
        <f>_xlfn.CONCAT(TEXT(MONTH(DATA[[#This Row],[FECHA DE VENCIMIENTO]]),"00"),"-",TEXT(DATA[[#This Row],[FECHA DE VENCIMIENTO]],"MMM"))</f>
        <v>01-Ene</v>
      </c>
    </row>
    <row r="864" spans="1:12" hidden="1" x14ac:dyDescent="0.3">
      <c r="A864" s="3">
        <v>44902</v>
      </c>
      <c r="B864" s="3">
        <v>44932</v>
      </c>
      <c r="C864" s="4">
        <f t="shared" si="26"/>
        <v>-22</v>
      </c>
      <c r="D864" s="5" t="s">
        <v>1008</v>
      </c>
      <c r="E864" s="5">
        <v>20514042897</v>
      </c>
      <c r="F864" s="5" t="s">
        <v>1009</v>
      </c>
      <c r="G864" s="5" t="s">
        <v>33</v>
      </c>
      <c r="H864" s="5" t="s">
        <v>7</v>
      </c>
      <c r="I864" s="31">
        <v>5192</v>
      </c>
      <c r="J864" s="31">
        <v>0</v>
      </c>
      <c r="K864" s="6" t="str">
        <f t="shared" si="27"/>
        <v>1-POR VENCER</v>
      </c>
      <c r="L864" s="7" t="str">
        <f>_xlfn.CONCAT(TEXT(MONTH(DATA[[#This Row],[FECHA DE VENCIMIENTO]]),"00"),"-",TEXT(DATA[[#This Row],[FECHA DE VENCIMIENTO]],"MMM"))</f>
        <v>01-Ene</v>
      </c>
    </row>
    <row r="865" spans="1:12" hidden="1" x14ac:dyDescent="0.3">
      <c r="A865" s="3">
        <v>44873</v>
      </c>
      <c r="B865" s="3">
        <v>44933</v>
      </c>
      <c r="C865" s="4">
        <f t="shared" si="26"/>
        <v>-23</v>
      </c>
      <c r="D865" s="5" t="s">
        <v>872</v>
      </c>
      <c r="E865" s="5">
        <v>20506322708</v>
      </c>
      <c r="F865" s="5" t="s">
        <v>873</v>
      </c>
      <c r="G865" s="5" t="s">
        <v>13</v>
      </c>
      <c r="H865" s="5" t="s">
        <v>29</v>
      </c>
      <c r="I865" s="31">
        <v>0</v>
      </c>
      <c r="J865" s="31">
        <v>244.4</v>
      </c>
      <c r="K865" s="6" t="str">
        <f t="shared" si="27"/>
        <v>1-POR VENCER</v>
      </c>
      <c r="L865" s="7" t="str">
        <f>_xlfn.CONCAT(TEXT(MONTH(DATA[[#This Row],[FECHA DE VENCIMIENTO]]),"00"),"-",TEXT(DATA[[#This Row],[FECHA DE VENCIMIENTO]],"MMM"))</f>
        <v>01-Ene</v>
      </c>
    </row>
    <row r="866" spans="1:12" hidden="1" x14ac:dyDescent="0.3">
      <c r="A866" s="3">
        <v>44888</v>
      </c>
      <c r="B866" s="3">
        <v>44933</v>
      </c>
      <c r="C866" s="4">
        <f t="shared" si="26"/>
        <v>-23</v>
      </c>
      <c r="D866" s="5" t="s">
        <v>884</v>
      </c>
      <c r="E866" s="5">
        <v>20338244917</v>
      </c>
      <c r="F866" s="5" t="s">
        <v>882</v>
      </c>
      <c r="G866" s="5" t="s">
        <v>13</v>
      </c>
      <c r="H866" s="5" t="s">
        <v>29</v>
      </c>
      <c r="I866" s="31">
        <v>0</v>
      </c>
      <c r="J866" s="31">
        <v>60.77</v>
      </c>
      <c r="K866" s="6" t="str">
        <f t="shared" si="27"/>
        <v>1-POR VENCER</v>
      </c>
      <c r="L866" s="7" t="str">
        <f>_xlfn.CONCAT(TEXT(MONTH(DATA[[#This Row],[FECHA DE VENCIMIENTO]]),"00"),"-",TEXT(DATA[[#This Row],[FECHA DE VENCIMIENTO]],"MMM"))</f>
        <v>01-Ene</v>
      </c>
    </row>
    <row r="867" spans="1:12" hidden="1" x14ac:dyDescent="0.3">
      <c r="A867" s="3">
        <v>44888</v>
      </c>
      <c r="B867" s="3">
        <v>44933</v>
      </c>
      <c r="C867" s="4">
        <f t="shared" si="26"/>
        <v>-23</v>
      </c>
      <c r="D867" s="5" t="s">
        <v>885</v>
      </c>
      <c r="E867" s="5">
        <v>20338244917</v>
      </c>
      <c r="F867" s="5" t="s">
        <v>882</v>
      </c>
      <c r="G867" s="5" t="s">
        <v>13</v>
      </c>
      <c r="H867" s="5" t="s">
        <v>29</v>
      </c>
      <c r="I867" s="31">
        <v>0</v>
      </c>
      <c r="J867" s="31">
        <v>139.83000000000001</v>
      </c>
      <c r="K867" s="6" t="str">
        <f t="shared" si="27"/>
        <v>1-POR VENCER</v>
      </c>
      <c r="L867" s="7" t="str">
        <f>_xlfn.CONCAT(TEXT(MONTH(DATA[[#This Row],[FECHA DE VENCIMIENTO]]),"00"),"-",TEXT(DATA[[#This Row],[FECHA DE VENCIMIENTO]],"MMM"))</f>
        <v>01-Ene</v>
      </c>
    </row>
    <row r="868" spans="1:12" ht="31.2" hidden="1" x14ac:dyDescent="0.3">
      <c r="A868" s="3">
        <v>44873</v>
      </c>
      <c r="B868" s="3">
        <v>44933</v>
      </c>
      <c r="C868" s="4">
        <f t="shared" si="26"/>
        <v>-23</v>
      </c>
      <c r="D868" s="5" t="s">
        <v>1173</v>
      </c>
      <c r="E868" s="5">
        <v>20334218857</v>
      </c>
      <c r="F868" s="5" t="s">
        <v>1170</v>
      </c>
      <c r="G868" s="5" t="s">
        <v>46</v>
      </c>
      <c r="H868" s="5" t="s">
        <v>29</v>
      </c>
      <c r="I868" s="31">
        <v>0</v>
      </c>
      <c r="J868" s="31">
        <v>4366</v>
      </c>
      <c r="K868" s="6" t="str">
        <f t="shared" si="27"/>
        <v>1-POR VENCER</v>
      </c>
      <c r="L868" s="7" t="str">
        <f>_xlfn.CONCAT(TEXT(MONTH(DATA[[#This Row],[FECHA DE VENCIMIENTO]]),"00"),"-",TEXT(DATA[[#This Row],[FECHA DE VENCIMIENTO]],"MMM"))</f>
        <v>01-Ene</v>
      </c>
    </row>
    <row r="869" spans="1:12" hidden="1" x14ac:dyDescent="0.3">
      <c r="A869" s="3">
        <v>44873</v>
      </c>
      <c r="B869" s="3">
        <v>44933</v>
      </c>
      <c r="C869" s="4">
        <f t="shared" si="26"/>
        <v>-23</v>
      </c>
      <c r="D869" s="5" t="s">
        <v>1195</v>
      </c>
      <c r="E869" s="5">
        <v>20221084684</v>
      </c>
      <c r="F869" s="5" t="s">
        <v>1191</v>
      </c>
      <c r="G869" s="5" t="s">
        <v>16</v>
      </c>
      <c r="H869" s="5" t="s">
        <v>7</v>
      </c>
      <c r="I869" s="31">
        <v>226560</v>
      </c>
      <c r="J869" s="31">
        <v>0</v>
      </c>
      <c r="K869" s="6" t="str">
        <f t="shared" si="27"/>
        <v>1-POR VENCER</v>
      </c>
      <c r="L869" s="7" t="str">
        <f>_xlfn.CONCAT(TEXT(MONTH(DATA[[#This Row],[FECHA DE VENCIMIENTO]]),"00"),"-",TEXT(DATA[[#This Row],[FECHA DE VENCIMIENTO]],"MMM"))</f>
        <v>01-Ene</v>
      </c>
    </row>
    <row r="870" spans="1:12" hidden="1" x14ac:dyDescent="0.3">
      <c r="A870" s="3">
        <v>44873</v>
      </c>
      <c r="B870" s="3">
        <v>44933</v>
      </c>
      <c r="C870" s="4">
        <f t="shared" si="26"/>
        <v>-23</v>
      </c>
      <c r="D870" s="5" t="s">
        <v>1197</v>
      </c>
      <c r="E870" s="5">
        <v>20221084684</v>
      </c>
      <c r="F870" s="5" t="s">
        <v>1191</v>
      </c>
      <c r="G870" s="5" t="s">
        <v>16</v>
      </c>
      <c r="H870" s="5" t="s">
        <v>29</v>
      </c>
      <c r="I870" s="31">
        <v>0</v>
      </c>
      <c r="J870" s="31">
        <v>13668.53</v>
      </c>
      <c r="K870" s="6" t="str">
        <f t="shared" si="27"/>
        <v>1-POR VENCER</v>
      </c>
      <c r="L870" s="7" t="str">
        <f>_xlfn.CONCAT(TEXT(MONTH(DATA[[#This Row],[FECHA DE VENCIMIENTO]]),"00"),"-",TEXT(DATA[[#This Row],[FECHA DE VENCIMIENTO]],"MMM"))</f>
        <v>01-Ene</v>
      </c>
    </row>
    <row r="871" spans="1:12" hidden="1" x14ac:dyDescent="0.3">
      <c r="A871" s="3">
        <v>44873</v>
      </c>
      <c r="B871" s="3">
        <v>44933</v>
      </c>
      <c r="C871" s="4">
        <f t="shared" si="26"/>
        <v>-23</v>
      </c>
      <c r="D871" s="5" t="s">
        <v>1277</v>
      </c>
      <c r="E871" s="5">
        <v>20609609711</v>
      </c>
      <c r="F871" s="5" t="s">
        <v>1272</v>
      </c>
      <c r="G871" s="5" t="s">
        <v>13</v>
      </c>
      <c r="H871" s="5" t="s">
        <v>29</v>
      </c>
      <c r="I871" s="31">
        <v>0</v>
      </c>
      <c r="J871" s="31">
        <v>1224.8399999999999</v>
      </c>
      <c r="K871" s="6" t="str">
        <f t="shared" si="27"/>
        <v>1-POR VENCER</v>
      </c>
      <c r="L871" s="7" t="str">
        <f>_xlfn.CONCAT(TEXT(MONTH(DATA[[#This Row],[FECHA DE VENCIMIENTO]]),"00"),"-",TEXT(DATA[[#This Row],[FECHA DE VENCIMIENTO]],"MMM"))</f>
        <v>01-Ene</v>
      </c>
    </row>
    <row r="872" spans="1:12" hidden="1" x14ac:dyDescent="0.3">
      <c r="A872" s="3">
        <v>44873</v>
      </c>
      <c r="B872" s="3">
        <v>44933</v>
      </c>
      <c r="C872" s="4">
        <f t="shared" si="26"/>
        <v>-23</v>
      </c>
      <c r="D872" s="5" t="s">
        <v>1278</v>
      </c>
      <c r="E872" s="5">
        <v>20609609711</v>
      </c>
      <c r="F872" s="5" t="s">
        <v>1272</v>
      </c>
      <c r="G872" s="5" t="s">
        <v>13</v>
      </c>
      <c r="H872" s="5" t="s">
        <v>7</v>
      </c>
      <c r="I872" s="31">
        <v>6419.2</v>
      </c>
      <c r="J872" s="31">
        <v>0</v>
      </c>
      <c r="K872" s="6" t="str">
        <f t="shared" si="27"/>
        <v>1-POR VENCER</v>
      </c>
      <c r="L872" s="7" t="str">
        <f>_xlfn.CONCAT(TEXT(MONTH(DATA[[#This Row],[FECHA DE VENCIMIENTO]]),"00"),"-",TEXT(DATA[[#This Row],[FECHA DE VENCIMIENTO]],"MMM"))</f>
        <v>01-Ene</v>
      </c>
    </row>
    <row r="873" spans="1:12" ht="31.2" hidden="1" x14ac:dyDescent="0.3">
      <c r="A873" s="3">
        <v>44874</v>
      </c>
      <c r="B873" s="3">
        <v>44934</v>
      </c>
      <c r="C873" s="4">
        <f t="shared" si="26"/>
        <v>-24</v>
      </c>
      <c r="D873" s="5" t="s">
        <v>765</v>
      </c>
      <c r="E873" s="5">
        <v>20494022797</v>
      </c>
      <c r="F873" s="5" t="s">
        <v>377</v>
      </c>
      <c r="G873" s="5" t="s">
        <v>46</v>
      </c>
      <c r="H873" s="5" t="s">
        <v>7</v>
      </c>
      <c r="I873" s="31">
        <v>9151.3700000000008</v>
      </c>
      <c r="J873" s="31">
        <v>0</v>
      </c>
      <c r="K873" s="6" t="str">
        <f t="shared" si="27"/>
        <v>1-POR VENCER</v>
      </c>
      <c r="L873" s="7" t="str">
        <f>_xlfn.CONCAT(TEXT(MONTH(DATA[[#This Row],[FECHA DE VENCIMIENTO]]),"00"),"-",TEXT(DATA[[#This Row],[FECHA DE VENCIMIENTO]],"MMM"))</f>
        <v>01-Ene</v>
      </c>
    </row>
    <row r="874" spans="1:12" hidden="1" x14ac:dyDescent="0.3">
      <c r="A874" s="3">
        <v>44874</v>
      </c>
      <c r="B874" s="3">
        <v>44934</v>
      </c>
      <c r="C874" s="4">
        <f t="shared" si="26"/>
        <v>-24</v>
      </c>
      <c r="D874" s="5" t="s">
        <v>875</v>
      </c>
      <c r="E874" s="5">
        <v>20506322708</v>
      </c>
      <c r="F874" s="5" t="s">
        <v>873</v>
      </c>
      <c r="G874" s="5" t="s">
        <v>13</v>
      </c>
      <c r="H874" s="5" t="s">
        <v>29</v>
      </c>
      <c r="I874" s="31">
        <v>0</v>
      </c>
      <c r="J874" s="31">
        <v>1053.5</v>
      </c>
      <c r="K874" s="6" t="str">
        <f t="shared" si="27"/>
        <v>1-POR VENCER</v>
      </c>
      <c r="L874" s="7" t="str">
        <f>_xlfn.CONCAT(TEXT(MONTH(DATA[[#This Row],[FECHA DE VENCIMIENTO]]),"00"),"-",TEXT(DATA[[#This Row],[FECHA DE VENCIMIENTO]],"MMM"))</f>
        <v>01-Ene</v>
      </c>
    </row>
    <row r="875" spans="1:12" hidden="1" x14ac:dyDescent="0.3">
      <c r="A875" s="3">
        <v>44874</v>
      </c>
      <c r="B875" s="3">
        <v>44934</v>
      </c>
      <c r="C875" s="4">
        <f t="shared" si="26"/>
        <v>-24</v>
      </c>
      <c r="D875" s="5" t="s">
        <v>1023</v>
      </c>
      <c r="E875" s="5">
        <v>20468261082</v>
      </c>
      <c r="F875" s="5" t="s">
        <v>161</v>
      </c>
      <c r="G875" s="5" t="s">
        <v>26</v>
      </c>
      <c r="H875" s="5" t="s">
        <v>7</v>
      </c>
      <c r="I875" s="31">
        <v>61.15</v>
      </c>
      <c r="J875" s="31">
        <v>0</v>
      </c>
      <c r="K875" s="6" t="str">
        <f t="shared" si="27"/>
        <v>1-POR VENCER</v>
      </c>
      <c r="L875" s="7" t="str">
        <f>_xlfn.CONCAT(TEXT(MONTH(DATA[[#This Row],[FECHA DE VENCIMIENTO]]),"00"),"-",TEXT(DATA[[#This Row],[FECHA DE VENCIMIENTO]],"MMM"))</f>
        <v>01-Ene</v>
      </c>
    </row>
    <row r="876" spans="1:12" hidden="1" x14ac:dyDescent="0.3">
      <c r="A876" s="3">
        <v>44890</v>
      </c>
      <c r="B876" s="3">
        <v>44935</v>
      </c>
      <c r="C876" s="4">
        <f t="shared" si="26"/>
        <v>-25</v>
      </c>
      <c r="D876" s="5" t="s">
        <v>863</v>
      </c>
      <c r="E876" s="5">
        <v>20534406496</v>
      </c>
      <c r="F876" s="5" t="s">
        <v>359</v>
      </c>
      <c r="G876" s="5" t="s">
        <v>13</v>
      </c>
      <c r="H876" s="5" t="s">
        <v>7</v>
      </c>
      <c r="I876" s="31">
        <v>365.52</v>
      </c>
      <c r="J876" s="31">
        <v>0</v>
      </c>
      <c r="K876" s="6" t="str">
        <f t="shared" si="27"/>
        <v>1-POR VENCER</v>
      </c>
      <c r="L876" s="7" t="str">
        <f>_xlfn.CONCAT(TEXT(MONTH(DATA[[#This Row],[FECHA DE VENCIMIENTO]]),"00"),"-",TEXT(DATA[[#This Row],[FECHA DE VENCIMIENTO]],"MMM"))</f>
        <v>01-Ene</v>
      </c>
    </row>
    <row r="877" spans="1:12" hidden="1" x14ac:dyDescent="0.3">
      <c r="A877" s="3">
        <v>44875</v>
      </c>
      <c r="B877" s="3">
        <v>44935</v>
      </c>
      <c r="C877" s="4">
        <f t="shared" si="26"/>
        <v>-25</v>
      </c>
      <c r="D877" s="5" t="s">
        <v>1028</v>
      </c>
      <c r="E877" s="5">
        <v>20468261082</v>
      </c>
      <c r="F877" s="5" t="s">
        <v>161</v>
      </c>
      <c r="G877" s="5" t="s">
        <v>26</v>
      </c>
      <c r="H877" s="5" t="s">
        <v>7</v>
      </c>
      <c r="I877" s="31">
        <v>5843.36</v>
      </c>
      <c r="J877" s="31">
        <v>0</v>
      </c>
      <c r="K877" s="6" t="str">
        <f t="shared" si="27"/>
        <v>1-POR VENCER</v>
      </c>
      <c r="L877" s="7" t="str">
        <f>_xlfn.CONCAT(TEXT(MONTH(DATA[[#This Row],[FECHA DE VENCIMIENTO]]),"00"),"-",TEXT(DATA[[#This Row],[FECHA DE VENCIMIENTO]],"MMM"))</f>
        <v>01-Ene</v>
      </c>
    </row>
    <row r="878" spans="1:12" hidden="1" x14ac:dyDescent="0.3">
      <c r="A878" s="3">
        <v>44876</v>
      </c>
      <c r="B878" s="3">
        <v>44936</v>
      </c>
      <c r="C878" s="4">
        <f t="shared" si="26"/>
        <v>-26</v>
      </c>
      <c r="D878" s="5" t="s">
        <v>556</v>
      </c>
      <c r="E878" s="5">
        <v>20132292109</v>
      </c>
      <c r="F878" s="5" t="s">
        <v>557</v>
      </c>
      <c r="G878" s="5" t="s">
        <v>58</v>
      </c>
      <c r="H878" s="5" t="s">
        <v>29</v>
      </c>
      <c r="I878" s="31">
        <v>0</v>
      </c>
      <c r="J878" s="31">
        <v>631.89</v>
      </c>
      <c r="K878" s="6" t="str">
        <f t="shared" si="27"/>
        <v>1-POR VENCER</v>
      </c>
      <c r="L878" s="7" t="str">
        <f>_xlfn.CONCAT(TEXT(MONTH(DATA[[#This Row],[FECHA DE VENCIMIENTO]]),"00"),"-",TEXT(DATA[[#This Row],[FECHA DE VENCIMIENTO]],"MMM"))</f>
        <v>01-Ene</v>
      </c>
    </row>
    <row r="879" spans="1:12" hidden="1" x14ac:dyDescent="0.3">
      <c r="A879" s="3">
        <v>44876</v>
      </c>
      <c r="B879" s="3">
        <v>44936</v>
      </c>
      <c r="C879" s="4">
        <f t="shared" si="26"/>
        <v>-26</v>
      </c>
      <c r="D879" s="5" t="s">
        <v>1199</v>
      </c>
      <c r="E879" s="5">
        <v>20221084684</v>
      </c>
      <c r="F879" s="5" t="s">
        <v>1191</v>
      </c>
      <c r="G879" s="5" t="s">
        <v>16</v>
      </c>
      <c r="H879" s="5" t="s">
        <v>29</v>
      </c>
      <c r="I879" s="31">
        <v>0</v>
      </c>
      <c r="J879" s="31">
        <v>2124</v>
      </c>
      <c r="K879" s="6" t="str">
        <f t="shared" si="27"/>
        <v>1-POR VENCER</v>
      </c>
      <c r="L879" s="7" t="str">
        <f>_xlfn.CONCAT(TEXT(MONTH(DATA[[#This Row],[FECHA DE VENCIMIENTO]]),"00"),"-",TEXT(DATA[[#This Row],[FECHA DE VENCIMIENTO]],"MMM"))</f>
        <v>01-Ene</v>
      </c>
    </row>
    <row r="880" spans="1:12" hidden="1" x14ac:dyDescent="0.3">
      <c r="A880" s="3">
        <v>44907</v>
      </c>
      <c r="B880" s="3">
        <v>44937</v>
      </c>
      <c r="C880" s="4">
        <f t="shared" si="26"/>
        <v>-27</v>
      </c>
      <c r="D880" s="5" t="s">
        <v>456</v>
      </c>
      <c r="E880" s="5">
        <v>20108917521</v>
      </c>
      <c r="F880" s="5" t="s">
        <v>384</v>
      </c>
      <c r="G880" s="5" t="s">
        <v>16</v>
      </c>
      <c r="H880" s="5" t="s">
        <v>29</v>
      </c>
      <c r="I880" s="31">
        <v>0</v>
      </c>
      <c r="J880" s="31">
        <v>1341.42</v>
      </c>
      <c r="K880" s="6" t="str">
        <f t="shared" si="27"/>
        <v>1-POR VENCER</v>
      </c>
      <c r="L880" s="7" t="str">
        <f>_xlfn.CONCAT(TEXT(MONTH(DATA[[#This Row],[FECHA DE VENCIMIENTO]]),"00"),"-",TEXT(DATA[[#This Row],[FECHA DE VENCIMIENTO]],"MMM"))</f>
        <v>01-Ene</v>
      </c>
    </row>
    <row r="881" spans="1:12" hidden="1" x14ac:dyDescent="0.3">
      <c r="A881" s="3">
        <v>44907</v>
      </c>
      <c r="B881" s="3">
        <v>44937</v>
      </c>
      <c r="C881" s="4">
        <f t="shared" si="26"/>
        <v>-27</v>
      </c>
      <c r="D881" s="5" t="s">
        <v>463</v>
      </c>
      <c r="E881" s="5">
        <v>20510844034</v>
      </c>
      <c r="F881" s="5" t="s">
        <v>464</v>
      </c>
      <c r="G881" s="5" t="s">
        <v>13</v>
      </c>
      <c r="H881" s="5" t="s">
        <v>29</v>
      </c>
      <c r="I881" s="31">
        <v>0</v>
      </c>
      <c r="J881" s="31">
        <v>3508.14</v>
      </c>
      <c r="K881" s="6" t="str">
        <f t="shared" si="27"/>
        <v>1-POR VENCER</v>
      </c>
      <c r="L881" s="7" t="str">
        <f>_xlfn.CONCAT(TEXT(MONTH(DATA[[#This Row],[FECHA DE VENCIMIENTO]]),"00"),"-",TEXT(DATA[[#This Row],[FECHA DE VENCIMIENTO]],"MMM"))</f>
        <v>01-Ene</v>
      </c>
    </row>
    <row r="882" spans="1:12" hidden="1" x14ac:dyDescent="0.3">
      <c r="A882" s="3">
        <v>44907</v>
      </c>
      <c r="B882" s="3">
        <v>44937</v>
      </c>
      <c r="C882" s="4">
        <f t="shared" si="26"/>
        <v>-27</v>
      </c>
      <c r="D882" s="5" t="s">
        <v>474</v>
      </c>
      <c r="E882" s="5">
        <v>20571536529</v>
      </c>
      <c r="F882" s="5" t="s">
        <v>473</v>
      </c>
      <c r="G882" s="5" t="s">
        <v>16</v>
      </c>
      <c r="H882" s="5" t="s">
        <v>29</v>
      </c>
      <c r="I882" s="31">
        <v>0</v>
      </c>
      <c r="J882" s="31">
        <v>494.42</v>
      </c>
      <c r="K882" s="6" t="str">
        <f t="shared" si="27"/>
        <v>1-POR VENCER</v>
      </c>
      <c r="L882" s="7" t="str">
        <f>_xlfn.CONCAT(TEXT(MONTH(DATA[[#This Row],[FECHA DE VENCIMIENTO]]),"00"),"-",TEXT(DATA[[#This Row],[FECHA DE VENCIMIENTO]],"MMM"))</f>
        <v>01-Ene</v>
      </c>
    </row>
    <row r="883" spans="1:12" hidden="1" x14ac:dyDescent="0.3">
      <c r="A883" s="3">
        <v>44907</v>
      </c>
      <c r="B883" s="3">
        <v>44937</v>
      </c>
      <c r="C883" s="4">
        <f t="shared" si="26"/>
        <v>-27</v>
      </c>
      <c r="D883" s="5" t="s">
        <v>584</v>
      </c>
      <c r="E883" s="5">
        <v>20602565786</v>
      </c>
      <c r="F883" s="5" t="s">
        <v>580</v>
      </c>
      <c r="G883" s="5" t="s">
        <v>16</v>
      </c>
      <c r="H883" s="5" t="s">
        <v>7</v>
      </c>
      <c r="I883" s="31">
        <v>649</v>
      </c>
      <c r="J883" s="31">
        <v>0</v>
      </c>
      <c r="K883" s="6" t="str">
        <f t="shared" si="27"/>
        <v>1-POR VENCER</v>
      </c>
      <c r="L883" s="7" t="str">
        <f>_xlfn.CONCAT(TEXT(MONTH(DATA[[#This Row],[FECHA DE VENCIMIENTO]]),"00"),"-",TEXT(DATA[[#This Row],[FECHA DE VENCIMIENTO]],"MMM"))</f>
        <v>01-Ene</v>
      </c>
    </row>
    <row r="884" spans="1:12" hidden="1" x14ac:dyDescent="0.3">
      <c r="A884" s="3">
        <v>44907</v>
      </c>
      <c r="B884" s="3">
        <v>44937</v>
      </c>
      <c r="C884" s="4">
        <f t="shared" si="26"/>
        <v>-27</v>
      </c>
      <c r="D884" s="5" t="s">
        <v>585</v>
      </c>
      <c r="E884" s="5">
        <v>20602565786</v>
      </c>
      <c r="F884" s="5" t="s">
        <v>580</v>
      </c>
      <c r="G884" s="5" t="s">
        <v>16</v>
      </c>
      <c r="H884" s="5" t="s">
        <v>7</v>
      </c>
      <c r="I884" s="31">
        <v>649</v>
      </c>
      <c r="J884" s="31">
        <v>0</v>
      </c>
      <c r="K884" s="6" t="str">
        <f t="shared" si="27"/>
        <v>1-POR VENCER</v>
      </c>
      <c r="L884" s="7" t="str">
        <f>_xlfn.CONCAT(TEXT(MONTH(DATA[[#This Row],[FECHA DE VENCIMIENTO]]),"00"),"-",TEXT(DATA[[#This Row],[FECHA DE VENCIMIENTO]],"MMM"))</f>
        <v>01-Ene</v>
      </c>
    </row>
    <row r="885" spans="1:12" hidden="1" x14ac:dyDescent="0.3">
      <c r="A885" s="3">
        <v>44907</v>
      </c>
      <c r="B885" s="3">
        <v>44937</v>
      </c>
      <c r="C885" s="4">
        <f t="shared" si="26"/>
        <v>-27</v>
      </c>
      <c r="D885" s="5" t="s">
        <v>604</v>
      </c>
      <c r="E885" s="5">
        <v>20454702701</v>
      </c>
      <c r="F885" s="5" t="s">
        <v>605</v>
      </c>
      <c r="G885" s="5" t="s">
        <v>33</v>
      </c>
      <c r="H885" s="5" t="s">
        <v>29</v>
      </c>
      <c r="I885" s="31">
        <v>0</v>
      </c>
      <c r="J885" s="31">
        <v>64.66</v>
      </c>
      <c r="K885" s="6" t="str">
        <f t="shared" si="27"/>
        <v>1-POR VENCER</v>
      </c>
      <c r="L885" s="7" t="str">
        <f>_xlfn.CONCAT(TEXT(MONTH(DATA[[#This Row],[FECHA DE VENCIMIENTO]]),"00"),"-",TEXT(DATA[[#This Row],[FECHA DE VENCIMIENTO]],"MMM"))</f>
        <v>01-Ene</v>
      </c>
    </row>
    <row r="886" spans="1:12" hidden="1" x14ac:dyDescent="0.3">
      <c r="A886" s="3">
        <v>44907</v>
      </c>
      <c r="B886" s="3">
        <v>44937</v>
      </c>
      <c r="C886" s="4">
        <f t="shared" si="26"/>
        <v>-27</v>
      </c>
      <c r="D886" s="5" t="s">
        <v>612</v>
      </c>
      <c r="E886" s="5">
        <v>20479912425</v>
      </c>
      <c r="F886" s="5" t="s">
        <v>358</v>
      </c>
      <c r="G886" s="5" t="s">
        <v>58</v>
      </c>
      <c r="H886" s="5" t="s">
        <v>7</v>
      </c>
      <c r="I886" s="31">
        <v>885</v>
      </c>
      <c r="J886" s="31">
        <v>0</v>
      </c>
      <c r="K886" s="6" t="str">
        <f t="shared" si="27"/>
        <v>1-POR VENCER</v>
      </c>
      <c r="L886" s="7" t="str">
        <f>_xlfn.CONCAT(TEXT(MONTH(DATA[[#This Row],[FECHA DE VENCIMIENTO]]),"00"),"-",TEXT(DATA[[#This Row],[FECHA DE VENCIMIENTO]],"MMM"))</f>
        <v>01-Ene</v>
      </c>
    </row>
    <row r="887" spans="1:12" hidden="1" x14ac:dyDescent="0.3">
      <c r="A887" s="3">
        <v>44907</v>
      </c>
      <c r="B887" s="3">
        <v>44937</v>
      </c>
      <c r="C887" s="4">
        <f t="shared" si="26"/>
        <v>-27</v>
      </c>
      <c r="D887" s="5" t="s">
        <v>613</v>
      </c>
      <c r="E887" s="5">
        <v>20479912425</v>
      </c>
      <c r="F887" s="5" t="s">
        <v>358</v>
      </c>
      <c r="G887" s="5" t="s">
        <v>58</v>
      </c>
      <c r="H887" s="5" t="s">
        <v>7</v>
      </c>
      <c r="I887" s="31">
        <v>3209.6</v>
      </c>
      <c r="J887" s="31">
        <v>0</v>
      </c>
      <c r="K887" s="6" t="str">
        <f t="shared" si="27"/>
        <v>1-POR VENCER</v>
      </c>
      <c r="L887" s="7" t="str">
        <f>_xlfn.CONCAT(TEXT(MONTH(DATA[[#This Row],[FECHA DE VENCIMIENTO]]),"00"),"-",TEXT(DATA[[#This Row],[FECHA DE VENCIMIENTO]],"MMM"))</f>
        <v>01-Ene</v>
      </c>
    </row>
    <row r="888" spans="1:12" hidden="1" x14ac:dyDescent="0.3">
      <c r="A888" s="3">
        <v>44907</v>
      </c>
      <c r="B888" s="3">
        <v>44937</v>
      </c>
      <c r="C888" s="4">
        <f t="shared" si="26"/>
        <v>-27</v>
      </c>
      <c r="D888" s="5" t="s">
        <v>614</v>
      </c>
      <c r="E888" s="5">
        <v>20479912425</v>
      </c>
      <c r="F888" s="5" t="s">
        <v>358</v>
      </c>
      <c r="G888" s="5" t="s">
        <v>58</v>
      </c>
      <c r="H888" s="5" t="s">
        <v>29</v>
      </c>
      <c r="I888" s="31">
        <v>0</v>
      </c>
      <c r="J888" s="31">
        <v>816.56</v>
      </c>
      <c r="K888" s="6" t="str">
        <f t="shared" si="27"/>
        <v>1-POR VENCER</v>
      </c>
      <c r="L888" s="7" t="str">
        <f>_xlfn.CONCAT(TEXT(MONTH(DATA[[#This Row],[FECHA DE VENCIMIENTO]]),"00"),"-",TEXT(DATA[[#This Row],[FECHA DE VENCIMIENTO]],"MMM"))</f>
        <v>01-Ene</v>
      </c>
    </row>
    <row r="889" spans="1:12" hidden="1" x14ac:dyDescent="0.3">
      <c r="A889" s="3">
        <v>44907</v>
      </c>
      <c r="B889" s="3">
        <v>44937</v>
      </c>
      <c r="C889" s="4">
        <f t="shared" si="26"/>
        <v>-27</v>
      </c>
      <c r="D889" s="5" t="s">
        <v>632</v>
      </c>
      <c r="E889" s="5">
        <v>20609301121</v>
      </c>
      <c r="F889" s="5" t="s">
        <v>631</v>
      </c>
      <c r="G889" s="5" t="s">
        <v>16</v>
      </c>
      <c r="H889" s="5" t="s">
        <v>7</v>
      </c>
      <c r="I889" s="31">
        <v>3209.6</v>
      </c>
      <c r="J889" s="31">
        <v>0</v>
      </c>
      <c r="K889" s="6" t="str">
        <f t="shared" si="27"/>
        <v>1-POR VENCER</v>
      </c>
      <c r="L889" s="7" t="str">
        <f>_xlfn.CONCAT(TEXT(MONTH(DATA[[#This Row],[FECHA DE VENCIMIENTO]]),"00"),"-",TEXT(DATA[[#This Row],[FECHA DE VENCIMIENTO]],"MMM"))</f>
        <v>01-Ene</v>
      </c>
    </row>
    <row r="890" spans="1:12" hidden="1" x14ac:dyDescent="0.3">
      <c r="A890" s="3">
        <v>44907</v>
      </c>
      <c r="B890" s="3">
        <v>44937</v>
      </c>
      <c r="C890" s="4">
        <f t="shared" si="26"/>
        <v>-27</v>
      </c>
      <c r="D890" s="5" t="s">
        <v>638</v>
      </c>
      <c r="E890" s="5">
        <v>20609301121</v>
      </c>
      <c r="F890" s="5" t="s">
        <v>631</v>
      </c>
      <c r="G890" s="5" t="s">
        <v>16</v>
      </c>
      <c r="H890" s="5" t="s">
        <v>29</v>
      </c>
      <c r="I890" s="31">
        <v>0</v>
      </c>
      <c r="J890" s="31">
        <v>415.36</v>
      </c>
      <c r="K890" s="6" t="str">
        <f t="shared" si="27"/>
        <v>1-POR VENCER</v>
      </c>
      <c r="L890" s="7" t="str">
        <f>_xlfn.CONCAT(TEXT(MONTH(DATA[[#This Row],[FECHA DE VENCIMIENTO]]),"00"),"-",TEXT(DATA[[#This Row],[FECHA DE VENCIMIENTO]],"MMM"))</f>
        <v>01-Ene</v>
      </c>
    </row>
    <row r="891" spans="1:12" hidden="1" x14ac:dyDescent="0.3">
      <c r="A891" s="3">
        <v>44907</v>
      </c>
      <c r="B891" s="3">
        <v>44937</v>
      </c>
      <c r="C891" s="4">
        <f t="shared" si="26"/>
        <v>-27</v>
      </c>
      <c r="D891" s="5" t="s">
        <v>841</v>
      </c>
      <c r="E891" s="5">
        <v>20550756031</v>
      </c>
      <c r="F891" s="5" t="s">
        <v>836</v>
      </c>
      <c r="G891" s="5" t="s">
        <v>16</v>
      </c>
      <c r="H891" s="5" t="s">
        <v>29</v>
      </c>
      <c r="I891" s="31">
        <v>0</v>
      </c>
      <c r="J891" s="31">
        <v>371.7</v>
      </c>
      <c r="K891" s="6" t="str">
        <f t="shared" si="27"/>
        <v>1-POR VENCER</v>
      </c>
      <c r="L891" s="7" t="str">
        <f>_xlfn.CONCAT(TEXT(MONTH(DATA[[#This Row],[FECHA DE VENCIMIENTO]]),"00"),"-",TEXT(DATA[[#This Row],[FECHA DE VENCIMIENTO]],"MMM"))</f>
        <v>01-Ene</v>
      </c>
    </row>
    <row r="892" spans="1:12" hidden="1" x14ac:dyDescent="0.3">
      <c r="A892" s="3">
        <v>44907</v>
      </c>
      <c r="B892" s="3">
        <v>44937</v>
      </c>
      <c r="C892" s="4">
        <f t="shared" si="26"/>
        <v>-27</v>
      </c>
      <c r="D892" s="5" t="s">
        <v>891</v>
      </c>
      <c r="E892" s="5">
        <v>20136241789</v>
      </c>
      <c r="F892" s="5" t="s">
        <v>889</v>
      </c>
      <c r="G892" s="5" t="s">
        <v>33</v>
      </c>
      <c r="H892" s="5" t="s">
        <v>29</v>
      </c>
      <c r="I892" s="31">
        <v>0</v>
      </c>
      <c r="J892" s="31">
        <v>554.6</v>
      </c>
      <c r="K892" s="6" t="str">
        <f t="shared" si="27"/>
        <v>1-POR VENCER</v>
      </c>
      <c r="L892" s="7" t="str">
        <f>_xlfn.CONCAT(TEXT(MONTH(DATA[[#This Row],[FECHA DE VENCIMIENTO]]),"00"),"-",TEXT(DATA[[#This Row],[FECHA DE VENCIMIENTO]],"MMM"))</f>
        <v>01-Ene</v>
      </c>
    </row>
    <row r="893" spans="1:12" hidden="1" x14ac:dyDescent="0.3">
      <c r="A893" s="3">
        <v>44907</v>
      </c>
      <c r="B893" s="3">
        <v>44937</v>
      </c>
      <c r="C893" s="4">
        <f t="shared" si="26"/>
        <v>-27</v>
      </c>
      <c r="D893" s="5" t="s">
        <v>938</v>
      </c>
      <c r="E893" s="5">
        <v>20558566567</v>
      </c>
      <c r="F893" s="5" t="s">
        <v>939</v>
      </c>
      <c r="G893" s="5" t="s">
        <v>33</v>
      </c>
      <c r="H893" s="5" t="s">
        <v>29</v>
      </c>
      <c r="I893" s="31">
        <v>0</v>
      </c>
      <c r="J893" s="31">
        <v>306.8</v>
      </c>
      <c r="K893" s="6" t="str">
        <f t="shared" si="27"/>
        <v>1-POR VENCER</v>
      </c>
      <c r="L893" s="7" t="str">
        <f>_xlfn.CONCAT(TEXT(MONTH(DATA[[#This Row],[FECHA DE VENCIMIENTO]]),"00"),"-",TEXT(DATA[[#This Row],[FECHA DE VENCIMIENTO]],"MMM"))</f>
        <v>01-Ene</v>
      </c>
    </row>
    <row r="894" spans="1:12" ht="31.2" hidden="1" x14ac:dyDescent="0.3">
      <c r="A894" s="3">
        <v>44907</v>
      </c>
      <c r="B894" s="3">
        <v>44937</v>
      </c>
      <c r="C894" s="4">
        <f t="shared" si="26"/>
        <v>-27</v>
      </c>
      <c r="D894" s="5" t="s">
        <v>977</v>
      </c>
      <c r="E894" s="5">
        <v>20393719100</v>
      </c>
      <c r="F894" s="5" t="s">
        <v>976</v>
      </c>
      <c r="G894" s="5" t="s">
        <v>46</v>
      </c>
      <c r="H894" s="5" t="s">
        <v>29</v>
      </c>
      <c r="I894" s="31">
        <v>0</v>
      </c>
      <c r="J894" s="31">
        <v>1003</v>
      </c>
      <c r="K894" s="6" t="str">
        <f t="shared" si="27"/>
        <v>1-POR VENCER</v>
      </c>
      <c r="L894" s="7" t="str">
        <f>_xlfn.CONCAT(TEXT(MONTH(DATA[[#This Row],[FECHA DE VENCIMIENTO]]),"00"),"-",TEXT(DATA[[#This Row],[FECHA DE VENCIMIENTO]],"MMM"))</f>
        <v>01-Ene</v>
      </c>
    </row>
    <row r="895" spans="1:12" hidden="1" x14ac:dyDescent="0.3">
      <c r="A895" s="3">
        <v>44907</v>
      </c>
      <c r="B895" s="3">
        <v>44937</v>
      </c>
      <c r="C895" s="4">
        <f t="shared" si="26"/>
        <v>-27</v>
      </c>
      <c r="D895" s="5" t="s">
        <v>1078</v>
      </c>
      <c r="E895" s="5">
        <v>10429225413</v>
      </c>
      <c r="F895" s="5" t="s">
        <v>1079</v>
      </c>
      <c r="G895" s="5" t="s">
        <v>16</v>
      </c>
      <c r="H895" s="5" t="s">
        <v>29</v>
      </c>
      <c r="I895" s="31">
        <v>0</v>
      </c>
      <c r="J895" s="31">
        <v>839.45</v>
      </c>
      <c r="K895" s="6" t="str">
        <f t="shared" si="27"/>
        <v>1-POR VENCER</v>
      </c>
      <c r="L895" s="7" t="str">
        <f>_xlfn.CONCAT(TEXT(MONTH(DATA[[#This Row],[FECHA DE VENCIMIENTO]]),"00"),"-",TEXT(DATA[[#This Row],[FECHA DE VENCIMIENTO]],"MMM"))</f>
        <v>01-Ene</v>
      </c>
    </row>
    <row r="896" spans="1:12" hidden="1" x14ac:dyDescent="0.3">
      <c r="A896" s="3">
        <v>44817</v>
      </c>
      <c r="B896" s="3">
        <v>44937</v>
      </c>
      <c r="C896" s="4">
        <f t="shared" si="26"/>
        <v>-27</v>
      </c>
      <c r="D896" s="5" t="s">
        <v>1216</v>
      </c>
      <c r="E896" s="5">
        <v>20100154308</v>
      </c>
      <c r="F896" s="5" t="s">
        <v>1217</v>
      </c>
      <c r="G896" s="5" t="s">
        <v>16</v>
      </c>
      <c r="H896" s="5" t="s">
        <v>7</v>
      </c>
      <c r="I896" s="31">
        <v>474.95</v>
      </c>
      <c r="J896" s="31">
        <v>0</v>
      </c>
      <c r="K896" s="6" t="str">
        <f t="shared" si="27"/>
        <v>1-POR VENCER</v>
      </c>
      <c r="L896" s="7" t="str">
        <f>_xlfn.CONCAT(TEXT(MONTH(DATA[[#This Row],[FECHA DE VENCIMIENTO]]),"00"),"-",TEXT(DATA[[#This Row],[FECHA DE VENCIMIENTO]],"MMM"))</f>
        <v>01-Ene</v>
      </c>
    </row>
    <row r="897" spans="1:12" ht="31.2" hidden="1" x14ac:dyDescent="0.3">
      <c r="A897" s="3">
        <v>44908</v>
      </c>
      <c r="B897" s="3">
        <v>44938</v>
      </c>
      <c r="C897" s="4">
        <f t="shared" si="26"/>
        <v>-28</v>
      </c>
      <c r="D897" s="5" t="s">
        <v>455</v>
      </c>
      <c r="E897" s="5">
        <v>20534760231</v>
      </c>
      <c r="F897" s="5" t="s">
        <v>454</v>
      </c>
      <c r="G897" s="5" t="s">
        <v>13</v>
      </c>
      <c r="H897" s="5" t="s">
        <v>29</v>
      </c>
      <c r="I897" s="31">
        <v>0</v>
      </c>
      <c r="J897" s="31">
        <v>1554.77</v>
      </c>
      <c r="K897" s="6" t="str">
        <f t="shared" si="27"/>
        <v>1-POR VENCER</v>
      </c>
      <c r="L897" s="7" t="str">
        <f>_xlfn.CONCAT(TEXT(MONTH(DATA[[#This Row],[FECHA DE VENCIMIENTO]]),"00"),"-",TEXT(DATA[[#This Row],[FECHA DE VENCIMIENTO]],"MMM"))</f>
        <v>01-Ene</v>
      </c>
    </row>
    <row r="898" spans="1:12" hidden="1" x14ac:dyDescent="0.3">
      <c r="A898" s="3">
        <v>44908</v>
      </c>
      <c r="B898" s="3">
        <v>44938</v>
      </c>
      <c r="C898" s="4">
        <f t="shared" si="26"/>
        <v>-28</v>
      </c>
      <c r="D898" s="5" t="s">
        <v>509</v>
      </c>
      <c r="E898" s="5">
        <v>20320731314</v>
      </c>
      <c r="F898" s="5" t="s">
        <v>331</v>
      </c>
      <c r="G898" s="5" t="s">
        <v>16</v>
      </c>
      <c r="H898" s="5" t="s">
        <v>7</v>
      </c>
      <c r="I898" s="31">
        <v>35400</v>
      </c>
      <c r="J898" s="31">
        <v>0</v>
      </c>
      <c r="K898" s="6" t="str">
        <f t="shared" si="27"/>
        <v>1-POR VENCER</v>
      </c>
      <c r="L898" s="7" t="str">
        <f>_xlfn.CONCAT(TEXT(MONTH(DATA[[#This Row],[FECHA DE VENCIMIENTO]]),"00"),"-",TEXT(DATA[[#This Row],[FECHA DE VENCIMIENTO]],"MMM"))</f>
        <v>01-Ene</v>
      </c>
    </row>
    <row r="899" spans="1:12" hidden="1" x14ac:dyDescent="0.3">
      <c r="A899" s="3">
        <v>44908</v>
      </c>
      <c r="B899" s="3">
        <v>44938</v>
      </c>
      <c r="C899" s="4">
        <f t="shared" si="26"/>
        <v>-28</v>
      </c>
      <c r="D899" s="5" t="s">
        <v>800</v>
      </c>
      <c r="E899" s="5">
        <v>20204844381</v>
      </c>
      <c r="F899" s="5" t="s">
        <v>801</v>
      </c>
      <c r="G899" s="5" t="s">
        <v>58</v>
      </c>
      <c r="H899" s="5" t="s">
        <v>29</v>
      </c>
      <c r="I899" s="31">
        <v>0</v>
      </c>
      <c r="J899" s="31">
        <v>1739.56</v>
      </c>
      <c r="K899" s="6" t="str">
        <f t="shared" si="27"/>
        <v>1-POR VENCER</v>
      </c>
      <c r="L899" s="7" t="str">
        <f>_xlfn.CONCAT(TEXT(MONTH(DATA[[#This Row],[FECHA DE VENCIMIENTO]]),"00"),"-",TEXT(DATA[[#This Row],[FECHA DE VENCIMIENTO]],"MMM"))</f>
        <v>01-Ene</v>
      </c>
    </row>
    <row r="900" spans="1:12" hidden="1" x14ac:dyDescent="0.3">
      <c r="A900" s="3">
        <v>44908</v>
      </c>
      <c r="B900" s="3">
        <v>44938</v>
      </c>
      <c r="C900" s="4">
        <f t="shared" ref="C900:C963" si="28">$E$2-B900</f>
        <v>-28</v>
      </c>
      <c r="D900" s="5" t="s">
        <v>838</v>
      </c>
      <c r="E900" s="5">
        <v>20550756031</v>
      </c>
      <c r="F900" s="5" t="s">
        <v>836</v>
      </c>
      <c r="G900" s="5" t="s">
        <v>16</v>
      </c>
      <c r="H900" s="5" t="s">
        <v>7</v>
      </c>
      <c r="I900" s="31">
        <v>778.8</v>
      </c>
      <c r="J900" s="31">
        <v>0</v>
      </c>
      <c r="K900" s="6" t="str">
        <f t="shared" ref="K900:K963" si="29">IF(C900&gt;180,"180 &lt;= 360 DIAS",IF(C900&gt;90,"90 &lt;= 180 DIAS",IF(C900&gt;60,"60 &lt;= 90 DIAS",IF(C900&gt;30,"30 &lt;= 60 DIAS",IF(C900&gt;15,"15 &lt;= 30 DIAS","1-POR VENCER")))))</f>
        <v>1-POR VENCER</v>
      </c>
      <c r="L900" s="7" t="str">
        <f>_xlfn.CONCAT(TEXT(MONTH(DATA[[#This Row],[FECHA DE VENCIMIENTO]]),"00"),"-",TEXT(DATA[[#This Row],[FECHA DE VENCIMIENTO]],"MMM"))</f>
        <v>01-Ene</v>
      </c>
    </row>
    <row r="901" spans="1:12" hidden="1" x14ac:dyDescent="0.3">
      <c r="A901" s="3">
        <v>44908</v>
      </c>
      <c r="B901" s="3">
        <v>44938</v>
      </c>
      <c r="C901" s="4">
        <f t="shared" si="28"/>
        <v>-28</v>
      </c>
      <c r="D901" s="5" t="s">
        <v>839</v>
      </c>
      <c r="E901" s="5">
        <v>20550756031</v>
      </c>
      <c r="F901" s="5" t="s">
        <v>836</v>
      </c>
      <c r="G901" s="5" t="s">
        <v>16</v>
      </c>
      <c r="H901" s="5" t="s">
        <v>29</v>
      </c>
      <c r="I901" s="31">
        <v>0</v>
      </c>
      <c r="J901" s="31">
        <v>280.55</v>
      </c>
      <c r="K901" s="6" t="str">
        <f t="shared" si="29"/>
        <v>1-POR VENCER</v>
      </c>
      <c r="L901" s="7" t="str">
        <f>_xlfn.CONCAT(TEXT(MONTH(DATA[[#This Row],[FECHA DE VENCIMIENTO]]),"00"),"-",TEXT(DATA[[#This Row],[FECHA DE VENCIMIENTO]],"MMM"))</f>
        <v>01-Ene</v>
      </c>
    </row>
    <row r="902" spans="1:12" hidden="1" x14ac:dyDescent="0.3">
      <c r="A902" s="3">
        <v>44908</v>
      </c>
      <c r="B902" s="3">
        <v>44938</v>
      </c>
      <c r="C902" s="4">
        <f t="shared" si="28"/>
        <v>-28</v>
      </c>
      <c r="D902" s="5" t="s">
        <v>881</v>
      </c>
      <c r="E902" s="5">
        <v>20338244917</v>
      </c>
      <c r="F902" s="5" t="s">
        <v>882</v>
      </c>
      <c r="G902" s="5" t="s">
        <v>13</v>
      </c>
      <c r="H902" s="5" t="s">
        <v>29</v>
      </c>
      <c r="I902" s="31">
        <v>0</v>
      </c>
      <c r="J902" s="31">
        <v>60.77</v>
      </c>
      <c r="K902" s="6" t="str">
        <f t="shared" si="29"/>
        <v>1-POR VENCER</v>
      </c>
      <c r="L902" s="7" t="str">
        <f>_xlfn.CONCAT(TEXT(MONTH(DATA[[#This Row],[FECHA DE VENCIMIENTO]]),"00"),"-",TEXT(DATA[[#This Row],[FECHA DE VENCIMIENTO]],"MMM"))</f>
        <v>01-Ene</v>
      </c>
    </row>
    <row r="903" spans="1:12" hidden="1" x14ac:dyDescent="0.3">
      <c r="A903" s="3">
        <v>44908</v>
      </c>
      <c r="B903" s="3">
        <v>44938</v>
      </c>
      <c r="C903" s="4">
        <f t="shared" si="28"/>
        <v>-28</v>
      </c>
      <c r="D903" s="5" t="s">
        <v>883</v>
      </c>
      <c r="E903" s="5">
        <v>20338244917</v>
      </c>
      <c r="F903" s="5" t="s">
        <v>882</v>
      </c>
      <c r="G903" s="5" t="s">
        <v>13</v>
      </c>
      <c r="H903" s="5" t="s">
        <v>29</v>
      </c>
      <c r="I903" s="31">
        <v>0</v>
      </c>
      <c r="J903" s="31">
        <v>472.59</v>
      </c>
      <c r="K903" s="6" t="str">
        <f t="shared" si="29"/>
        <v>1-POR VENCER</v>
      </c>
      <c r="L903" s="7" t="str">
        <f>_xlfn.CONCAT(TEXT(MONTH(DATA[[#This Row],[FECHA DE VENCIMIENTO]]),"00"),"-",TEXT(DATA[[#This Row],[FECHA DE VENCIMIENTO]],"MMM"))</f>
        <v>01-Ene</v>
      </c>
    </row>
    <row r="904" spans="1:12" hidden="1" x14ac:dyDescent="0.3">
      <c r="A904" s="3">
        <v>44908</v>
      </c>
      <c r="B904" s="3">
        <v>44938</v>
      </c>
      <c r="C904" s="4">
        <f t="shared" si="28"/>
        <v>-28</v>
      </c>
      <c r="D904" s="5" t="s">
        <v>1083</v>
      </c>
      <c r="E904" s="5">
        <v>20601311110</v>
      </c>
      <c r="F904" s="5" t="s">
        <v>1084</v>
      </c>
      <c r="G904" s="5" t="s">
        <v>16</v>
      </c>
      <c r="H904" s="5" t="s">
        <v>29</v>
      </c>
      <c r="I904" s="31">
        <v>0</v>
      </c>
      <c r="J904" s="31">
        <v>206.21</v>
      </c>
      <c r="K904" s="6" t="str">
        <f t="shared" si="29"/>
        <v>1-POR VENCER</v>
      </c>
      <c r="L904" s="7" t="str">
        <f>_xlfn.CONCAT(TEXT(MONTH(DATA[[#This Row],[FECHA DE VENCIMIENTO]]),"00"),"-",TEXT(DATA[[#This Row],[FECHA DE VENCIMIENTO]],"MMM"))</f>
        <v>01-Ene</v>
      </c>
    </row>
    <row r="905" spans="1:12" ht="31.2" hidden="1" x14ac:dyDescent="0.3">
      <c r="A905" s="3">
        <v>44893</v>
      </c>
      <c r="B905" s="3">
        <v>44938</v>
      </c>
      <c r="C905" s="4">
        <f t="shared" si="28"/>
        <v>-28</v>
      </c>
      <c r="D905" s="5" t="s">
        <v>1107</v>
      </c>
      <c r="E905" s="5">
        <v>20393514630</v>
      </c>
      <c r="F905" s="5" t="s">
        <v>1108</v>
      </c>
      <c r="G905" s="5" t="s">
        <v>46</v>
      </c>
      <c r="H905" s="5" t="s">
        <v>7</v>
      </c>
      <c r="I905" s="31">
        <v>5223.62</v>
      </c>
      <c r="J905" s="31">
        <v>0</v>
      </c>
      <c r="K905" s="6" t="str">
        <f t="shared" si="29"/>
        <v>1-POR VENCER</v>
      </c>
      <c r="L905" s="7" t="str">
        <f>_xlfn.CONCAT(TEXT(MONTH(DATA[[#This Row],[FECHA DE VENCIMIENTO]]),"00"),"-",TEXT(DATA[[#This Row],[FECHA DE VENCIMIENTO]],"MMM"))</f>
        <v>01-Ene</v>
      </c>
    </row>
    <row r="906" spans="1:12" ht="31.2" hidden="1" x14ac:dyDescent="0.3">
      <c r="A906" s="3">
        <v>44893</v>
      </c>
      <c r="B906" s="3">
        <v>44938</v>
      </c>
      <c r="C906" s="4">
        <f t="shared" si="28"/>
        <v>-28</v>
      </c>
      <c r="D906" s="5" t="s">
        <v>1110</v>
      </c>
      <c r="E906" s="5">
        <v>20393514630</v>
      </c>
      <c r="F906" s="5" t="s">
        <v>1108</v>
      </c>
      <c r="G906" s="5" t="s">
        <v>46</v>
      </c>
      <c r="H906" s="5" t="s">
        <v>7</v>
      </c>
      <c r="I906" s="31">
        <v>6529.53</v>
      </c>
      <c r="J906" s="31">
        <v>0</v>
      </c>
      <c r="K906" s="6" t="str">
        <f t="shared" si="29"/>
        <v>1-POR VENCER</v>
      </c>
      <c r="L906" s="7" t="str">
        <f>_xlfn.CONCAT(TEXT(MONTH(DATA[[#This Row],[FECHA DE VENCIMIENTO]]),"00"),"-",TEXT(DATA[[#This Row],[FECHA DE VENCIMIENTO]],"MMM"))</f>
        <v>01-Ene</v>
      </c>
    </row>
    <row r="907" spans="1:12" hidden="1" x14ac:dyDescent="0.3">
      <c r="A907" s="3">
        <v>44909</v>
      </c>
      <c r="B907" s="3">
        <v>44939</v>
      </c>
      <c r="C907" s="4">
        <f t="shared" si="28"/>
        <v>-29</v>
      </c>
      <c r="D907" s="5" t="s">
        <v>551</v>
      </c>
      <c r="E907" s="5">
        <v>20104508023</v>
      </c>
      <c r="F907" s="5" t="s">
        <v>540</v>
      </c>
      <c r="G907" s="5" t="s">
        <v>13</v>
      </c>
      <c r="H907" s="5" t="s">
        <v>7</v>
      </c>
      <c r="I907" s="31">
        <v>838.96</v>
      </c>
      <c r="J907" s="31">
        <v>0</v>
      </c>
      <c r="K907" s="6" t="str">
        <f t="shared" si="29"/>
        <v>1-POR VENCER</v>
      </c>
      <c r="L907" s="7" t="str">
        <f>_xlfn.CONCAT(TEXT(MONTH(DATA[[#This Row],[FECHA DE VENCIMIENTO]]),"00"),"-",TEXT(DATA[[#This Row],[FECHA DE VENCIMIENTO]],"MMM"))</f>
        <v>01-Ene</v>
      </c>
    </row>
    <row r="908" spans="1:12" hidden="1" x14ac:dyDescent="0.3">
      <c r="A908" s="3">
        <v>44909</v>
      </c>
      <c r="B908" s="3">
        <v>44939</v>
      </c>
      <c r="C908" s="4">
        <f t="shared" si="28"/>
        <v>-29</v>
      </c>
      <c r="D908" s="5" t="s">
        <v>552</v>
      </c>
      <c r="E908" s="5">
        <v>20104508023</v>
      </c>
      <c r="F908" s="5" t="s">
        <v>540</v>
      </c>
      <c r="G908" s="5" t="s">
        <v>13</v>
      </c>
      <c r="H908" s="5" t="s">
        <v>7</v>
      </c>
      <c r="I908" s="31">
        <v>13238.64</v>
      </c>
      <c r="J908" s="31">
        <v>0</v>
      </c>
      <c r="K908" s="6" t="str">
        <f t="shared" si="29"/>
        <v>1-POR VENCER</v>
      </c>
      <c r="L908" s="7" t="str">
        <f>_xlfn.CONCAT(TEXT(MONTH(DATA[[#This Row],[FECHA DE VENCIMIENTO]]),"00"),"-",TEXT(DATA[[#This Row],[FECHA DE VENCIMIENTO]],"MMM"))</f>
        <v>01-Ene</v>
      </c>
    </row>
    <row r="909" spans="1:12" ht="31.2" hidden="1" x14ac:dyDescent="0.3">
      <c r="A909" s="3">
        <v>44909</v>
      </c>
      <c r="B909" s="3">
        <v>44939</v>
      </c>
      <c r="C909" s="4">
        <f t="shared" si="28"/>
        <v>-29</v>
      </c>
      <c r="D909" s="5" t="s">
        <v>553</v>
      </c>
      <c r="E909" s="5">
        <v>20607517747</v>
      </c>
      <c r="F909" s="5" t="s">
        <v>554</v>
      </c>
      <c r="G909" s="5" t="s">
        <v>46</v>
      </c>
      <c r="H909" s="5" t="s">
        <v>29</v>
      </c>
      <c r="I909" s="31">
        <v>0</v>
      </c>
      <c r="J909" s="31">
        <v>9340.8799999999992</v>
      </c>
      <c r="K909" s="6" t="str">
        <f t="shared" si="29"/>
        <v>1-POR VENCER</v>
      </c>
      <c r="L909" s="7" t="str">
        <f>_xlfn.CONCAT(TEXT(MONTH(DATA[[#This Row],[FECHA DE VENCIMIENTO]]),"00"),"-",TEXT(DATA[[#This Row],[FECHA DE VENCIMIENTO]],"MMM"))</f>
        <v>01-Ene</v>
      </c>
    </row>
    <row r="910" spans="1:12" hidden="1" x14ac:dyDescent="0.3">
      <c r="A910" s="3">
        <v>44879</v>
      </c>
      <c r="B910" s="3">
        <v>44939</v>
      </c>
      <c r="C910" s="4">
        <f t="shared" si="28"/>
        <v>-29</v>
      </c>
      <c r="D910" s="5" t="s">
        <v>626</v>
      </c>
      <c r="E910" s="5">
        <v>20487823377</v>
      </c>
      <c r="F910" s="5" t="s">
        <v>627</v>
      </c>
      <c r="G910" s="5" t="s">
        <v>58</v>
      </c>
      <c r="H910" s="5" t="s">
        <v>7</v>
      </c>
      <c r="I910" s="31">
        <v>541.38</v>
      </c>
      <c r="J910" s="31">
        <v>0</v>
      </c>
      <c r="K910" s="6" t="str">
        <f t="shared" si="29"/>
        <v>1-POR VENCER</v>
      </c>
      <c r="L910" s="7" t="str">
        <f>_xlfn.CONCAT(TEXT(MONTH(DATA[[#This Row],[FECHA DE VENCIMIENTO]]),"00"),"-",TEXT(DATA[[#This Row],[FECHA DE VENCIMIENTO]],"MMM"))</f>
        <v>01-Ene</v>
      </c>
    </row>
    <row r="911" spans="1:12" hidden="1" x14ac:dyDescent="0.3">
      <c r="A911" s="3">
        <v>44894</v>
      </c>
      <c r="B911" s="3">
        <v>44939</v>
      </c>
      <c r="C911" s="4">
        <f t="shared" si="28"/>
        <v>-29</v>
      </c>
      <c r="D911" s="5" t="s">
        <v>867</v>
      </c>
      <c r="E911" s="5">
        <v>20534406496</v>
      </c>
      <c r="F911" s="5" t="s">
        <v>359</v>
      </c>
      <c r="G911" s="5" t="s">
        <v>13</v>
      </c>
      <c r="H911" s="5" t="s">
        <v>29</v>
      </c>
      <c r="I911" s="31">
        <v>0</v>
      </c>
      <c r="J911" s="31">
        <v>1121</v>
      </c>
      <c r="K911" s="6" t="str">
        <f t="shared" si="29"/>
        <v>1-POR VENCER</v>
      </c>
      <c r="L911" s="7" t="str">
        <f>_xlfn.CONCAT(TEXT(MONTH(DATA[[#This Row],[FECHA DE VENCIMIENTO]]),"00"),"-",TEXT(DATA[[#This Row],[FECHA DE VENCIMIENTO]],"MMM"))</f>
        <v>01-Ene</v>
      </c>
    </row>
    <row r="912" spans="1:12" hidden="1" x14ac:dyDescent="0.3">
      <c r="A912" s="3">
        <v>44909</v>
      </c>
      <c r="B912" s="3">
        <v>44939</v>
      </c>
      <c r="C912" s="4">
        <f t="shared" si="28"/>
        <v>-29</v>
      </c>
      <c r="D912" s="5" t="s">
        <v>997</v>
      </c>
      <c r="E912" s="5">
        <v>20600272200</v>
      </c>
      <c r="F912" s="5" t="s">
        <v>998</v>
      </c>
      <c r="G912" s="5" t="s">
        <v>33</v>
      </c>
      <c r="H912" s="5" t="s">
        <v>7</v>
      </c>
      <c r="I912" s="31">
        <v>5940.59</v>
      </c>
      <c r="J912" s="31">
        <v>0</v>
      </c>
      <c r="K912" s="6" t="str">
        <f t="shared" si="29"/>
        <v>1-POR VENCER</v>
      </c>
      <c r="L912" s="7" t="str">
        <f>_xlfn.CONCAT(TEXT(MONTH(DATA[[#This Row],[FECHA DE VENCIMIENTO]]),"00"),"-",TEXT(DATA[[#This Row],[FECHA DE VENCIMIENTO]],"MMM"))</f>
        <v>01-Ene</v>
      </c>
    </row>
    <row r="913" spans="1:12" hidden="1" x14ac:dyDescent="0.3">
      <c r="A913" s="3">
        <v>44879</v>
      </c>
      <c r="B913" s="3">
        <v>44939</v>
      </c>
      <c r="C913" s="4">
        <f t="shared" si="28"/>
        <v>-29</v>
      </c>
      <c r="D913" s="5" t="s">
        <v>1007</v>
      </c>
      <c r="E913" s="5">
        <v>20601433584</v>
      </c>
      <c r="F913" s="5" t="s">
        <v>1003</v>
      </c>
      <c r="G913" s="5" t="s">
        <v>58</v>
      </c>
      <c r="H913" s="5" t="s">
        <v>29</v>
      </c>
      <c r="I913" s="31">
        <v>0</v>
      </c>
      <c r="J913" s="31">
        <v>420.74</v>
      </c>
      <c r="K913" s="6" t="str">
        <f t="shared" si="29"/>
        <v>1-POR VENCER</v>
      </c>
      <c r="L913" s="7" t="str">
        <f>_xlfn.CONCAT(TEXT(MONTH(DATA[[#This Row],[FECHA DE VENCIMIENTO]]),"00"),"-",TEXT(DATA[[#This Row],[FECHA DE VENCIMIENTO]],"MMM"))</f>
        <v>01-Ene</v>
      </c>
    </row>
    <row r="914" spans="1:12" hidden="1" x14ac:dyDescent="0.3">
      <c r="A914" s="3">
        <v>44879</v>
      </c>
      <c r="B914" s="3">
        <v>44939</v>
      </c>
      <c r="C914" s="4">
        <f t="shared" si="28"/>
        <v>-29</v>
      </c>
      <c r="D914" s="5" t="s">
        <v>1021</v>
      </c>
      <c r="E914" s="5">
        <v>20468261082</v>
      </c>
      <c r="F914" s="5" t="s">
        <v>161</v>
      </c>
      <c r="G914" s="5" t="s">
        <v>26</v>
      </c>
      <c r="H914" s="5" t="s">
        <v>7</v>
      </c>
      <c r="I914" s="31">
        <v>1022.59</v>
      </c>
      <c r="J914" s="31">
        <v>0</v>
      </c>
      <c r="K914" s="6" t="str">
        <f t="shared" si="29"/>
        <v>1-POR VENCER</v>
      </c>
      <c r="L914" s="7" t="str">
        <f>_xlfn.CONCAT(TEXT(MONTH(DATA[[#This Row],[FECHA DE VENCIMIENTO]]),"00"),"-",TEXT(DATA[[#This Row],[FECHA DE VENCIMIENTO]],"MMM"))</f>
        <v>01-Ene</v>
      </c>
    </row>
    <row r="915" spans="1:12" hidden="1" x14ac:dyDescent="0.3">
      <c r="A915" s="3">
        <v>44909</v>
      </c>
      <c r="B915" s="3">
        <v>44939</v>
      </c>
      <c r="C915" s="4">
        <f t="shared" si="28"/>
        <v>-29</v>
      </c>
      <c r="D915" s="5" t="s">
        <v>1141</v>
      </c>
      <c r="E915" s="5">
        <v>20430998766</v>
      </c>
      <c r="F915" s="5" t="s">
        <v>1142</v>
      </c>
      <c r="G915" s="5" t="s">
        <v>16</v>
      </c>
      <c r="H915" s="5" t="s">
        <v>7</v>
      </c>
      <c r="I915" s="31">
        <v>1415.26</v>
      </c>
      <c r="J915" s="31">
        <v>0</v>
      </c>
      <c r="K915" s="6" t="str">
        <f t="shared" si="29"/>
        <v>1-POR VENCER</v>
      </c>
      <c r="L915" s="7" t="str">
        <f>_xlfn.CONCAT(TEXT(MONTH(DATA[[#This Row],[FECHA DE VENCIMIENTO]]),"00"),"-",TEXT(DATA[[#This Row],[FECHA DE VENCIMIENTO]],"MMM"))</f>
        <v>01-Ene</v>
      </c>
    </row>
    <row r="916" spans="1:12" hidden="1" x14ac:dyDescent="0.3">
      <c r="A916" s="3">
        <v>44909</v>
      </c>
      <c r="B916" s="3">
        <v>44939</v>
      </c>
      <c r="C916" s="4">
        <f t="shared" si="28"/>
        <v>-29</v>
      </c>
      <c r="D916" s="5" t="s">
        <v>1163</v>
      </c>
      <c r="E916" s="5">
        <v>20516083647</v>
      </c>
      <c r="F916" s="5" t="s">
        <v>360</v>
      </c>
      <c r="G916" s="5" t="s">
        <v>16</v>
      </c>
      <c r="H916" s="5" t="s">
        <v>7</v>
      </c>
      <c r="I916" s="31">
        <v>8283.6</v>
      </c>
      <c r="J916" s="31">
        <v>0</v>
      </c>
      <c r="K916" s="6" t="str">
        <f t="shared" si="29"/>
        <v>1-POR VENCER</v>
      </c>
      <c r="L916" s="7" t="str">
        <f>_xlfn.CONCAT(TEXT(MONTH(DATA[[#This Row],[FECHA DE VENCIMIENTO]]),"00"),"-",TEXT(DATA[[#This Row],[FECHA DE VENCIMIENTO]],"MMM"))</f>
        <v>01-Ene</v>
      </c>
    </row>
    <row r="917" spans="1:12" hidden="1" x14ac:dyDescent="0.3">
      <c r="A917" s="3">
        <v>44879</v>
      </c>
      <c r="B917" s="3">
        <v>44939</v>
      </c>
      <c r="C917" s="4">
        <f t="shared" si="28"/>
        <v>-29</v>
      </c>
      <c r="D917" s="5" t="s">
        <v>1260</v>
      </c>
      <c r="E917" s="5">
        <v>20505120702</v>
      </c>
      <c r="F917" s="5" t="s">
        <v>1259</v>
      </c>
      <c r="G917" s="5" t="s">
        <v>58</v>
      </c>
      <c r="H917" s="5" t="s">
        <v>29</v>
      </c>
      <c r="I917" s="31">
        <v>0</v>
      </c>
      <c r="J917" s="31">
        <v>181.7</v>
      </c>
      <c r="K917" s="6" t="str">
        <f t="shared" si="29"/>
        <v>1-POR VENCER</v>
      </c>
      <c r="L917" s="7" t="str">
        <f>_xlfn.CONCAT(TEXT(MONTH(DATA[[#This Row],[FECHA DE VENCIMIENTO]]),"00"),"-",TEXT(DATA[[#This Row],[FECHA DE VENCIMIENTO]],"MMM"))</f>
        <v>01-Ene</v>
      </c>
    </row>
    <row r="918" spans="1:12" hidden="1" x14ac:dyDescent="0.3">
      <c r="A918" s="3">
        <v>44895</v>
      </c>
      <c r="B918" s="3">
        <v>44940</v>
      </c>
      <c r="C918" s="4">
        <f t="shared" si="28"/>
        <v>-30</v>
      </c>
      <c r="D918" s="5" t="s">
        <v>856</v>
      </c>
      <c r="E918" s="5">
        <v>20534406496</v>
      </c>
      <c r="F918" s="5" t="s">
        <v>359</v>
      </c>
      <c r="G918" s="5" t="s">
        <v>13</v>
      </c>
      <c r="H918" s="5" t="s">
        <v>7</v>
      </c>
      <c r="I918" s="31">
        <v>3209.6</v>
      </c>
      <c r="J918" s="31">
        <v>0</v>
      </c>
      <c r="K918" s="6" t="str">
        <f t="shared" si="29"/>
        <v>1-POR VENCER</v>
      </c>
      <c r="L918" s="7" t="str">
        <f>_xlfn.CONCAT(TEXT(MONTH(DATA[[#This Row],[FECHA DE VENCIMIENTO]]),"00"),"-",TEXT(DATA[[#This Row],[FECHA DE VENCIMIENTO]],"MMM"))</f>
        <v>01-Ene</v>
      </c>
    </row>
    <row r="919" spans="1:12" hidden="1" x14ac:dyDescent="0.3">
      <c r="A919" s="3">
        <v>44880</v>
      </c>
      <c r="B919" s="3">
        <v>44940</v>
      </c>
      <c r="C919" s="4">
        <f t="shared" si="28"/>
        <v>-30</v>
      </c>
      <c r="D919" s="5" t="s">
        <v>1057</v>
      </c>
      <c r="E919" s="5">
        <v>20468261082</v>
      </c>
      <c r="F919" s="5" t="s">
        <v>161</v>
      </c>
      <c r="G919" s="5" t="s">
        <v>26</v>
      </c>
      <c r="H919" s="5" t="s">
        <v>7</v>
      </c>
      <c r="I919" s="31">
        <v>21580.62</v>
      </c>
      <c r="J919" s="31">
        <v>0</v>
      </c>
      <c r="K919" s="6" t="str">
        <f t="shared" si="29"/>
        <v>1-POR VENCER</v>
      </c>
      <c r="L919" s="7" t="str">
        <f>_xlfn.CONCAT(TEXT(MONTH(DATA[[#This Row],[FECHA DE VENCIMIENTO]]),"00"),"-",TEXT(DATA[[#This Row],[FECHA DE VENCIMIENTO]],"MMM"))</f>
        <v>01-Ene</v>
      </c>
    </row>
    <row r="920" spans="1:12" hidden="1" x14ac:dyDescent="0.3">
      <c r="A920" s="3">
        <v>44880</v>
      </c>
      <c r="B920" s="3">
        <v>44940</v>
      </c>
      <c r="C920" s="4">
        <f t="shared" si="28"/>
        <v>-30</v>
      </c>
      <c r="D920" s="5" t="s">
        <v>1128</v>
      </c>
      <c r="E920" s="5">
        <v>20600109881</v>
      </c>
      <c r="F920" s="5" t="s">
        <v>1126</v>
      </c>
      <c r="G920" s="5" t="s">
        <v>13</v>
      </c>
      <c r="H920" s="5" t="s">
        <v>7</v>
      </c>
      <c r="I920" s="31">
        <v>35141.879999999997</v>
      </c>
      <c r="J920" s="31">
        <v>0</v>
      </c>
      <c r="K920" s="6" t="str">
        <f t="shared" si="29"/>
        <v>1-POR VENCER</v>
      </c>
      <c r="L920" s="7" t="str">
        <f>_xlfn.CONCAT(TEXT(MONTH(DATA[[#This Row],[FECHA DE VENCIMIENTO]]),"00"),"-",TEXT(DATA[[#This Row],[FECHA DE VENCIMIENTO]],"MMM"))</f>
        <v>01-Ene</v>
      </c>
    </row>
    <row r="921" spans="1:12" hidden="1" x14ac:dyDescent="0.3">
      <c r="A921" s="3">
        <v>44880</v>
      </c>
      <c r="B921" s="3">
        <v>44940</v>
      </c>
      <c r="C921" s="4">
        <f t="shared" si="28"/>
        <v>-30</v>
      </c>
      <c r="D921" s="5" t="s">
        <v>1204</v>
      </c>
      <c r="E921" s="5">
        <v>20221084684</v>
      </c>
      <c r="F921" s="5" t="s">
        <v>1191</v>
      </c>
      <c r="G921" s="5" t="s">
        <v>16</v>
      </c>
      <c r="H921" s="5" t="s">
        <v>29</v>
      </c>
      <c r="I921" s="31">
        <v>0</v>
      </c>
      <c r="J921" s="31">
        <v>1203.5999999999999</v>
      </c>
      <c r="K921" s="6" t="str">
        <f t="shared" si="29"/>
        <v>1-POR VENCER</v>
      </c>
      <c r="L921" s="7" t="str">
        <f>_xlfn.CONCAT(TEXT(MONTH(DATA[[#This Row],[FECHA DE VENCIMIENTO]]),"00"),"-",TEXT(DATA[[#This Row],[FECHA DE VENCIMIENTO]],"MMM"))</f>
        <v>01-Ene</v>
      </c>
    </row>
    <row r="922" spans="1:12" hidden="1" x14ac:dyDescent="0.3">
      <c r="A922" s="3">
        <v>44881</v>
      </c>
      <c r="B922" s="3">
        <v>44941</v>
      </c>
      <c r="C922" s="4">
        <f t="shared" si="28"/>
        <v>-31</v>
      </c>
      <c r="D922" s="5" t="s">
        <v>1031</v>
      </c>
      <c r="E922" s="5">
        <v>20468261082</v>
      </c>
      <c r="F922" s="5" t="s">
        <v>161</v>
      </c>
      <c r="G922" s="5" t="s">
        <v>26</v>
      </c>
      <c r="H922" s="5" t="s">
        <v>7</v>
      </c>
      <c r="I922" s="31">
        <v>740.57</v>
      </c>
      <c r="J922" s="31">
        <v>0</v>
      </c>
      <c r="K922" s="6" t="str">
        <f t="shared" si="29"/>
        <v>1-POR VENCER</v>
      </c>
      <c r="L922" s="7" t="str">
        <f>_xlfn.CONCAT(TEXT(MONTH(DATA[[#This Row],[FECHA DE VENCIMIENTO]]),"00"),"-",TEXT(DATA[[#This Row],[FECHA DE VENCIMIENTO]],"MMM"))</f>
        <v>01-Ene</v>
      </c>
    </row>
    <row r="923" spans="1:12" hidden="1" x14ac:dyDescent="0.3">
      <c r="A923" s="3">
        <v>44896</v>
      </c>
      <c r="B923" s="3">
        <v>44941</v>
      </c>
      <c r="C923" s="4">
        <f t="shared" si="28"/>
        <v>-31</v>
      </c>
      <c r="D923" s="5" t="s">
        <v>1132</v>
      </c>
      <c r="E923" s="5">
        <v>20600109881</v>
      </c>
      <c r="F923" s="5" t="s">
        <v>1126</v>
      </c>
      <c r="G923" s="5" t="s">
        <v>13</v>
      </c>
      <c r="H923" s="5" t="s">
        <v>7</v>
      </c>
      <c r="I923" s="31">
        <v>12854.54</v>
      </c>
      <c r="J923" s="31">
        <v>0</v>
      </c>
      <c r="K923" s="6" t="str">
        <f t="shared" si="29"/>
        <v>1-POR VENCER</v>
      </c>
      <c r="L923" s="7" t="str">
        <f>_xlfn.CONCAT(TEXT(MONTH(DATA[[#This Row],[FECHA DE VENCIMIENTO]]),"00"),"-",TEXT(DATA[[#This Row],[FECHA DE VENCIMIENTO]],"MMM"))</f>
        <v>01-Ene</v>
      </c>
    </row>
    <row r="924" spans="1:12" ht="31.2" hidden="1" x14ac:dyDescent="0.3">
      <c r="A924" s="3">
        <v>44897</v>
      </c>
      <c r="B924" s="3">
        <v>44942</v>
      </c>
      <c r="C924" s="4">
        <f t="shared" si="28"/>
        <v>-32</v>
      </c>
      <c r="D924" s="5" t="s">
        <v>470</v>
      </c>
      <c r="E924" s="5">
        <v>20542356317</v>
      </c>
      <c r="F924" s="5" t="s">
        <v>389</v>
      </c>
      <c r="G924" s="5" t="s">
        <v>46</v>
      </c>
      <c r="H924" s="5" t="s">
        <v>29</v>
      </c>
      <c r="I924" s="31">
        <v>0</v>
      </c>
      <c r="J924" s="31">
        <v>193.52</v>
      </c>
      <c r="K924" s="6" t="str">
        <f t="shared" si="29"/>
        <v>1-POR VENCER</v>
      </c>
      <c r="L924" s="7" t="str">
        <f>_xlfn.CONCAT(TEXT(MONTH(DATA[[#This Row],[FECHA DE VENCIMIENTO]]),"00"),"-",TEXT(DATA[[#This Row],[FECHA DE VENCIMIENTO]],"MMM"))</f>
        <v>01-Ene</v>
      </c>
    </row>
    <row r="925" spans="1:12" ht="31.2" hidden="1" x14ac:dyDescent="0.3">
      <c r="A925" s="3">
        <v>44897</v>
      </c>
      <c r="B925" s="3">
        <v>44942</v>
      </c>
      <c r="C925" s="4">
        <f t="shared" si="28"/>
        <v>-32</v>
      </c>
      <c r="D925" s="5" t="s">
        <v>471</v>
      </c>
      <c r="E925" s="5">
        <v>20542356317</v>
      </c>
      <c r="F925" s="5" t="s">
        <v>389</v>
      </c>
      <c r="G925" s="5" t="s">
        <v>46</v>
      </c>
      <c r="H925" s="5" t="s">
        <v>7</v>
      </c>
      <c r="I925" s="31">
        <v>4543</v>
      </c>
      <c r="J925" s="31">
        <v>0</v>
      </c>
      <c r="K925" s="6" t="str">
        <f t="shared" si="29"/>
        <v>1-POR VENCER</v>
      </c>
      <c r="L925" s="7" t="str">
        <f>_xlfn.CONCAT(TEXT(MONTH(DATA[[#This Row],[FECHA DE VENCIMIENTO]]),"00"),"-",TEXT(DATA[[#This Row],[FECHA DE VENCIMIENTO]],"MMM"))</f>
        <v>01-Ene</v>
      </c>
    </row>
    <row r="926" spans="1:12" hidden="1" x14ac:dyDescent="0.3">
      <c r="A926" s="3">
        <v>44882</v>
      </c>
      <c r="B926" s="3">
        <v>44942</v>
      </c>
      <c r="C926" s="4">
        <f t="shared" si="28"/>
        <v>-32</v>
      </c>
      <c r="D926" s="5" t="s">
        <v>758</v>
      </c>
      <c r="E926" s="5">
        <v>20506421781</v>
      </c>
      <c r="F926" s="5" t="s">
        <v>735</v>
      </c>
      <c r="G926" s="5" t="s">
        <v>33</v>
      </c>
      <c r="H926" s="5" t="s">
        <v>29</v>
      </c>
      <c r="I926" s="31">
        <v>0</v>
      </c>
      <c r="J926" s="31">
        <v>335.66</v>
      </c>
      <c r="K926" s="6" t="str">
        <f t="shared" si="29"/>
        <v>1-POR VENCER</v>
      </c>
      <c r="L926" s="7" t="str">
        <f>_xlfn.CONCAT(TEXT(MONTH(DATA[[#This Row],[FECHA DE VENCIMIENTO]]),"00"),"-",TEXT(DATA[[#This Row],[FECHA DE VENCIMIENTO]],"MMM"))</f>
        <v>01-Ene</v>
      </c>
    </row>
    <row r="927" spans="1:12" hidden="1" x14ac:dyDescent="0.3">
      <c r="A927" s="3">
        <v>44882</v>
      </c>
      <c r="B927" s="3">
        <v>44942</v>
      </c>
      <c r="C927" s="4">
        <f t="shared" si="28"/>
        <v>-32</v>
      </c>
      <c r="D927" s="5" t="s">
        <v>759</v>
      </c>
      <c r="E927" s="5">
        <v>20506421781</v>
      </c>
      <c r="F927" s="5" t="s">
        <v>735</v>
      </c>
      <c r="G927" s="5" t="s">
        <v>33</v>
      </c>
      <c r="H927" s="5" t="s">
        <v>29</v>
      </c>
      <c r="I927" s="31">
        <v>0</v>
      </c>
      <c r="J927" s="31">
        <v>283.2</v>
      </c>
      <c r="K927" s="6" t="str">
        <f t="shared" si="29"/>
        <v>1-POR VENCER</v>
      </c>
      <c r="L927" s="7" t="str">
        <f>_xlfn.CONCAT(TEXT(MONTH(DATA[[#This Row],[FECHA DE VENCIMIENTO]]),"00"),"-",TEXT(DATA[[#This Row],[FECHA DE VENCIMIENTO]],"MMM"))</f>
        <v>01-Ene</v>
      </c>
    </row>
    <row r="928" spans="1:12" hidden="1" x14ac:dyDescent="0.3">
      <c r="A928" s="3">
        <v>44897</v>
      </c>
      <c r="B928" s="3">
        <v>44942</v>
      </c>
      <c r="C928" s="4">
        <f t="shared" si="28"/>
        <v>-32</v>
      </c>
      <c r="D928" s="5" t="s">
        <v>861</v>
      </c>
      <c r="E928" s="5">
        <v>20534406496</v>
      </c>
      <c r="F928" s="5" t="s">
        <v>359</v>
      </c>
      <c r="G928" s="5" t="s">
        <v>13</v>
      </c>
      <c r="H928" s="5" t="s">
        <v>7</v>
      </c>
      <c r="I928" s="31">
        <v>365.55</v>
      </c>
      <c r="J928" s="31">
        <v>0</v>
      </c>
      <c r="K928" s="6" t="str">
        <f t="shared" si="29"/>
        <v>1-POR VENCER</v>
      </c>
      <c r="L928" s="7" t="str">
        <f>_xlfn.CONCAT(TEXT(MONTH(DATA[[#This Row],[FECHA DE VENCIMIENTO]]),"00"),"-",TEXT(DATA[[#This Row],[FECHA DE VENCIMIENTO]],"MMM"))</f>
        <v>01-Ene</v>
      </c>
    </row>
    <row r="929" spans="1:12" hidden="1" x14ac:dyDescent="0.3">
      <c r="A929" s="3">
        <v>44883</v>
      </c>
      <c r="B929" s="3">
        <v>44943</v>
      </c>
      <c r="C929" s="4">
        <f t="shared" si="28"/>
        <v>-33</v>
      </c>
      <c r="D929" s="5" t="s">
        <v>755</v>
      </c>
      <c r="E929" s="5">
        <v>20506421781</v>
      </c>
      <c r="F929" s="5" t="s">
        <v>735</v>
      </c>
      <c r="G929" s="5" t="s">
        <v>33</v>
      </c>
      <c r="H929" s="5" t="s">
        <v>29</v>
      </c>
      <c r="I929" s="31">
        <v>0</v>
      </c>
      <c r="J929" s="31">
        <v>3840.9</v>
      </c>
      <c r="K929" s="6" t="str">
        <f t="shared" si="29"/>
        <v>1-POR VENCER</v>
      </c>
      <c r="L929" s="7" t="str">
        <f>_xlfn.CONCAT(TEXT(MONTH(DATA[[#This Row],[FECHA DE VENCIMIENTO]]),"00"),"-",TEXT(DATA[[#This Row],[FECHA DE VENCIMIENTO]],"MMM"))</f>
        <v>01-Ene</v>
      </c>
    </row>
    <row r="930" spans="1:12" hidden="1" x14ac:dyDescent="0.3">
      <c r="A930" s="3">
        <v>44883</v>
      </c>
      <c r="B930" s="3">
        <v>44943</v>
      </c>
      <c r="C930" s="4">
        <f t="shared" si="28"/>
        <v>-33</v>
      </c>
      <c r="D930" s="5" t="s">
        <v>756</v>
      </c>
      <c r="E930" s="5">
        <v>20506421781</v>
      </c>
      <c r="F930" s="5" t="s">
        <v>735</v>
      </c>
      <c r="G930" s="5" t="s">
        <v>33</v>
      </c>
      <c r="H930" s="5" t="s">
        <v>29</v>
      </c>
      <c r="I930" s="31">
        <v>0</v>
      </c>
      <c r="J930" s="31">
        <v>6582.98</v>
      </c>
      <c r="K930" s="6" t="str">
        <f t="shared" si="29"/>
        <v>1-POR VENCER</v>
      </c>
      <c r="L930" s="7" t="str">
        <f>_xlfn.CONCAT(TEXT(MONTH(DATA[[#This Row],[FECHA DE VENCIMIENTO]]),"00"),"-",TEXT(DATA[[#This Row],[FECHA DE VENCIMIENTO]],"MMM"))</f>
        <v>01-Ene</v>
      </c>
    </row>
    <row r="931" spans="1:12" hidden="1" x14ac:dyDescent="0.3">
      <c r="A931" s="3">
        <v>44883</v>
      </c>
      <c r="B931" s="3">
        <v>44943</v>
      </c>
      <c r="C931" s="4">
        <f t="shared" si="28"/>
        <v>-33</v>
      </c>
      <c r="D931" s="5" t="s">
        <v>757</v>
      </c>
      <c r="E931" s="5">
        <v>20506421781</v>
      </c>
      <c r="F931" s="5" t="s">
        <v>735</v>
      </c>
      <c r="G931" s="5" t="s">
        <v>33</v>
      </c>
      <c r="H931" s="5" t="s">
        <v>29</v>
      </c>
      <c r="I931" s="31">
        <v>0</v>
      </c>
      <c r="J931" s="31">
        <v>7617.76</v>
      </c>
      <c r="K931" s="6" t="str">
        <f t="shared" si="29"/>
        <v>1-POR VENCER</v>
      </c>
      <c r="L931" s="7" t="str">
        <f>_xlfn.CONCAT(TEXT(MONTH(DATA[[#This Row],[FECHA DE VENCIMIENTO]]),"00"),"-",TEXT(DATA[[#This Row],[FECHA DE VENCIMIENTO]],"MMM"))</f>
        <v>01-Ene</v>
      </c>
    </row>
    <row r="932" spans="1:12" hidden="1" x14ac:dyDescent="0.3">
      <c r="A932" s="3">
        <v>44883</v>
      </c>
      <c r="B932" s="3">
        <v>44943</v>
      </c>
      <c r="C932" s="4">
        <f t="shared" si="28"/>
        <v>-33</v>
      </c>
      <c r="D932" s="5" t="s">
        <v>874</v>
      </c>
      <c r="E932" s="5">
        <v>20506322708</v>
      </c>
      <c r="F932" s="5" t="s">
        <v>873</v>
      </c>
      <c r="G932" s="5" t="s">
        <v>13</v>
      </c>
      <c r="H932" s="5" t="s">
        <v>29</v>
      </c>
      <c r="I932" s="31">
        <v>0</v>
      </c>
      <c r="J932" s="31">
        <v>611</v>
      </c>
      <c r="K932" s="6" t="str">
        <f t="shared" si="29"/>
        <v>1-POR VENCER</v>
      </c>
      <c r="L932" s="7" t="str">
        <f>_xlfn.CONCAT(TEXT(MONTH(DATA[[#This Row],[FECHA DE VENCIMIENTO]]),"00"),"-",TEXT(DATA[[#This Row],[FECHA DE VENCIMIENTO]],"MMM"))</f>
        <v>01-Ene</v>
      </c>
    </row>
    <row r="933" spans="1:12" hidden="1" x14ac:dyDescent="0.3">
      <c r="A933" s="3">
        <v>44883</v>
      </c>
      <c r="B933" s="3">
        <v>44943</v>
      </c>
      <c r="C933" s="4">
        <f t="shared" si="28"/>
        <v>-33</v>
      </c>
      <c r="D933" s="5" t="s">
        <v>1029</v>
      </c>
      <c r="E933" s="5">
        <v>20468261082</v>
      </c>
      <c r="F933" s="5" t="s">
        <v>161</v>
      </c>
      <c r="G933" s="5" t="s">
        <v>26</v>
      </c>
      <c r="H933" s="5" t="s">
        <v>7</v>
      </c>
      <c r="I933" s="31">
        <v>511.29</v>
      </c>
      <c r="J933" s="31">
        <v>0</v>
      </c>
      <c r="K933" s="6" t="str">
        <f t="shared" si="29"/>
        <v>1-POR VENCER</v>
      </c>
      <c r="L933" s="7" t="str">
        <f>_xlfn.CONCAT(TEXT(MONTH(DATA[[#This Row],[FECHA DE VENCIMIENTO]]),"00"),"-",TEXT(DATA[[#This Row],[FECHA DE VENCIMIENTO]],"MMM"))</f>
        <v>01-Ene</v>
      </c>
    </row>
    <row r="934" spans="1:12" hidden="1" x14ac:dyDescent="0.3">
      <c r="A934" s="3">
        <v>44883</v>
      </c>
      <c r="B934" s="3">
        <v>44943</v>
      </c>
      <c r="C934" s="4">
        <f t="shared" si="28"/>
        <v>-33</v>
      </c>
      <c r="D934" s="5" t="s">
        <v>1032</v>
      </c>
      <c r="E934" s="5">
        <v>20468261082</v>
      </c>
      <c r="F934" s="5" t="s">
        <v>161</v>
      </c>
      <c r="G934" s="5" t="s">
        <v>26</v>
      </c>
      <c r="H934" s="5" t="s">
        <v>7</v>
      </c>
      <c r="I934" s="31">
        <v>305.74</v>
      </c>
      <c r="J934" s="31">
        <v>0</v>
      </c>
      <c r="K934" s="6" t="str">
        <f t="shared" si="29"/>
        <v>1-POR VENCER</v>
      </c>
      <c r="L934" s="7" t="str">
        <f>_xlfn.CONCAT(TEXT(MONTH(DATA[[#This Row],[FECHA DE VENCIMIENTO]]),"00"),"-",TEXT(DATA[[#This Row],[FECHA DE VENCIMIENTO]],"MMM"))</f>
        <v>01-Ene</v>
      </c>
    </row>
    <row r="935" spans="1:12" ht="31.2" hidden="1" x14ac:dyDescent="0.3">
      <c r="A935" s="3">
        <v>44883</v>
      </c>
      <c r="B935" s="3">
        <v>44943</v>
      </c>
      <c r="C935" s="4">
        <f t="shared" si="28"/>
        <v>-33</v>
      </c>
      <c r="D935" s="5" t="s">
        <v>1171</v>
      </c>
      <c r="E935" s="5">
        <v>20334218857</v>
      </c>
      <c r="F935" s="5" t="s">
        <v>1170</v>
      </c>
      <c r="G935" s="5" t="s">
        <v>46</v>
      </c>
      <c r="H935" s="5" t="s">
        <v>29</v>
      </c>
      <c r="I935" s="31">
        <v>0</v>
      </c>
      <c r="J935" s="31">
        <v>3274.5</v>
      </c>
      <c r="K935" s="6" t="str">
        <f t="shared" si="29"/>
        <v>1-POR VENCER</v>
      </c>
      <c r="L935" s="7" t="str">
        <f>_xlfn.CONCAT(TEXT(MONTH(DATA[[#This Row],[FECHA DE VENCIMIENTO]]),"00"),"-",TEXT(DATA[[#This Row],[FECHA DE VENCIMIENTO]],"MMM"))</f>
        <v>01-Ene</v>
      </c>
    </row>
    <row r="936" spans="1:12" hidden="1" x14ac:dyDescent="0.3">
      <c r="A936" s="3">
        <v>44883</v>
      </c>
      <c r="B936" s="3">
        <v>44943</v>
      </c>
      <c r="C936" s="4">
        <f t="shared" si="28"/>
        <v>-33</v>
      </c>
      <c r="D936" s="5" t="s">
        <v>1198</v>
      </c>
      <c r="E936" s="5">
        <v>20221084684</v>
      </c>
      <c r="F936" s="5" t="s">
        <v>1191</v>
      </c>
      <c r="G936" s="5" t="s">
        <v>16</v>
      </c>
      <c r="H936" s="5" t="s">
        <v>29</v>
      </c>
      <c r="I936" s="31">
        <v>0</v>
      </c>
      <c r="J936" s="31">
        <v>1203.5999999999999</v>
      </c>
      <c r="K936" s="6" t="str">
        <f t="shared" si="29"/>
        <v>1-POR VENCER</v>
      </c>
      <c r="L936" s="7" t="str">
        <f>_xlfn.CONCAT(TEXT(MONTH(DATA[[#This Row],[FECHA DE VENCIMIENTO]]),"00"),"-",TEXT(DATA[[#This Row],[FECHA DE VENCIMIENTO]],"MMM"))</f>
        <v>01-Ene</v>
      </c>
    </row>
    <row r="937" spans="1:12" hidden="1" x14ac:dyDescent="0.3">
      <c r="A937" s="3">
        <v>44900</v>
      </c>
      <c r="B937" s="3">
        <v>44945</v>
      </c>
      <c r="C937" s="4">
        <f t="shared" si="28"/>
        <v>-35</v>
      </c>
      <c r="D937" s="5" t="s">
        <v>615</v>
      </c>
      <c r="E937" s="5">
        <v>20600194144</v>
      </c>
      <c r="F937" s="5" t="s">
        <v>616</v>
      </c>
      <c r="G937" s="5" t="s">
        <v>13</v>
      </c>
      <c r="H937" s="5" t="s">
        <v>7</v>
      </c>
      <c r="I937" s="31">
        <v>5522.4</v>
      </c>
      <c r="J937" s="31">
        <v>0</v>
      </c>
      <c r="K937" s="6" t="str">
        <f t="shared" si="29"/>
        <v>1-POR VENCER</v>
      </c>
      <c r="L937" s="7" t="str">
        <f>_xlfn.CONCAT(TEXT(MONTH(DATA[[#This Row],[FECHA DE VENCIMIENTO]]),"00"),"-",TEXT(DATA[[#This Row],[FECHA DE VENCIMIENTO]],"MMM"))</f>
        <v>01-Ene</v>
      </c>
    </row>
    <row r="938" spans="1:12" hidden="1" x14ac:dyDescent="0.3">
      <c r="A938" s="3">
        <v>44900</v>
      </c>
      <c r="B938" s="3">
        <v>44945</v>
      </c>
      <c r="C938" s="4">
        <f t="shared" si="28"/>
        <v>-35</v>
      </c>
      <c r="D938" s="5" t="s">
        <v>617</v>
      </c>
      <c r="E938" s="5">
        <v>20600194144</v>
      </c>
      <c r="F938" s="5" t="s">
        <v>616</v>
      </c>
      <c r="G938" s="5" t="s">
        <v>13</v>
      </c>
      <c r="H938" s="5" t="s">
        <v>29</v>
      </c>
      <c r="I938" s="31">
        <v>0</v>
      </c>
      <c r="J938" s="31">
        <v>472</v>
      </c>
      <c r="K938" s="6" t="str">
        <f t="shared" si="29"/>
        <v>1-POR VENCER</v>
      </c>
      <c r="L938" s="7" t="str">
        <f>_xlfn.CONCAT(TEXT(MONTH(DATA[[#This Row],[FECHA DE VENCIMIENTO]]),"00"),"-",TEXT(DATA[[#This Row],[FECHA DE VENCIMIENTO]],"MMM"))</f>
        <v>01-Ene</v>
      </c>
    </row>
    <row r="939" spans="1:12" hidden="1" x14ac:dyDescent="0.3">
      <c r="A939" s="3">
        <v>44900</v>
      </c>
      <c r="B939" s="3">
        <v>44945</v>
      </c>
      <c r="C939" s="4">
        <f t="shared" si="28"/>
        <v>-35</v>
      </c>
      <c r="D939" s="5" t="s">
        <v>1159</v>
      </c>
      <c r="E939" s="5">
        <v>20602768512</v>
      </c>
      <c r="F939" s="5" t="s">
        <v>373</v>
      </c>
      <c r="G939" s="5" t="s">
        <v>13</v>
      </c>
      <c r="H939" s="5" t="s">
        <v>7</v>
      </c>
      <c r="I939" s="31">
        <v>9717.5400000000009</v>
      </c>
      <c r="J939" s="31">
        <v>0</v>
      </c>
      <c r="K939" s="6" t="str">
        <f t="shared" si="29"/>
        <v>1-POR VENCER</v>
      </c>
      <c r="L939" s="7" t="str">
        <f>_xlfn.CONCAT(TEXT(MONTH(DATA[[#This Row],[FECHA DE VENCIMIENTO]]),"00"),"-",TEXT(DATA[[#This Row],[FECHA DE VENCIMIENTO]],"MMM"))</f>
        <v>01-Ene</v>
      </c>
    </row>
    <row r="940" spans="1:12" hidden="1" x14ac:dyDescent="0.3">
      <c r="A940" s="3">
        <v>44901</v>
      </c>
      <c r="B940" s="3">
        <v>44946</v>
      </c>
      <c r="C940" s="4">
        <f t="shared" si="28"/>
        <v>-36</v>
      </c>
      <c r="D940" s="5" t="s">
        <v>860</v>
      </c>
      <c r="E940" s="5">
        <v>20534406496</v>
      </c>
      <c r="F940" s="5" t="s">
        <v>359</v>
      </c>
      <c r="G940" s="5" t="s">
        <v>13</v>
      </c>
      <c r="H940" s="5" t="s">
        <v>7</v>
      </c>
      <c r="I940" s="31">
        <v>365.52</v>
      </c>
      <c r="J940" s="31">
        <v>0</v>
      </c>
      <c r="K940" s="6" t="str">
        <f t="shared" si="29"/>
        <v>1-POR VENCER</v>
      </c>
      <c r="L940" s="7" t="str">
        <f>_xlfn.CONCAT(TEXT(MONTH(DATA[[#This Row],[FECHA DE VENCIMIENTO]]),"00"),"-",TEXT(DATA[[#This Row],[FECHA DE VENCIMIENTO]],"MMM"))</f>
        <v>01-Ene</v>
      </c>
    </row>
    <row r="941" spans="1:12" hidden="1" x14ac:dyDescent="0.3">
      <c r="A941" s="3">
        <v>44886</v>
      </c>
      <c r="B941" s="3">
        <v>44946</v>
      </c>
      <c r="C941" s="4">
        <f t="shared" si="28"/>
        <v>-36</v>
      </c>
      <c r="D941" s="5" t="s">
        <v>1149</v>
      </c>
      <c r="E941" s="5">
        <v>20600728688</v>
      </c>
      <c r="F941" s="5" t="s">
        <v>12</v>
      </c>
      <c r="G941" s="5" t="s">
        <v>13</v>
      </c>
      <c r="H941" s="5" t="s">
        <v>7</v>
      </c>
      <c r="I941" s="31">
        <v>4305.21</v>
      </c>
      <c r="J941" s="31">
        <v>0</v>
      </c>
      <c r="K941" s="6" t="str">
        <f t="shared" si="29"/>
        <v>1-POR VENCER</v>
      </c>
      <c r="L941" s="7" t="str">
        <f>_xlfn.CONCAT(TEXT(MONTH(DATA[[#This Row],[FECHA DE VENCIMIENTO]]),"00"),"-",TEXT(DATA[[#This Row],[FECHA DE VENCIMIENTO]],"MMM"))</f>
        <v>01-Ene</v>
      </c>
    </row>
    <row r="942" spans="1:12" hidden="1" x14ac:dyDescent="0.3">
      <c r="A942" s="3">
        <v>44886</v>
      </c>
      <c r="B942" s="3">
        <v>44946</v>
      </c>
      <c r="C942" s="4">
        <f t="shared" si="28"/>
        <v>-36</v>
      </c>
      <c r="D942" s="5" t="s">
        <v>1203</v>
      </c>
      <c r="E942" s="5">
        <v>20221084684</v>
      </c>
      <c r="F942" s="5" t="s">
        <v>1191</v>
      </c>
      <c r="G942" s="5" t="s">
        <v>16</v>
      </c>
      <c r="H942" s="5" t="s">
        <v>7</v>
      </c>
      <c r="I942" s="31">
        <v>226560</v>
      </c>
      <c r="J942" s="31">
        <v>0</v>
      </c>
      <c r="K942" s="6" t="str">
        <f t="shared" si="29"/>
        <v>1-POR VENCER</v>
      </c>
      <c r="L942" s="7" t="str">
        <f>_xlfn.CONCAT(TEXT(MONTH(DATA[[#This Row],[FECHA DE VENCIMIENTO]]),"00"),"-",TEXT(DATA[[#This Row],[FECHA DE VENCIMIENTO]],"MMM"))</f>
        <v>01-Ene</v>
      </c>
    </row>
    <row r="943" spans="1:12" hidden="1" x14ac:dyDescent="0.3">
      <c r="A943" s="3">
        <v>44886</v>
      </c>
      <c r="B943" s="3">
        <v>44946</v>
      </c>
      <c r="C943" s="4">
        <f t="shared" si="28"/>
        <v>-36</v>
      </c>
      <c r="D943" s="5" t="s">
        <v>1276</v>
      </c>
      <c r="E943" s="5">
        <v>20609609711</v>
      </c>
      <c r="F943" s="5" t="s">
        <v>1272</v>
      </c>
      <c r="G943" s="5" t="s">
        <v>13</v>
      </c>
      <c r="H943" s="5" t="s">
        <v>7</v>
      </c>
      <c r="I943" s="31">
        <v>12155.53</v>
      </c>
      <c r="J943" s="31">
        <v>0</v>
      </c>
      <c r="K943" s="6" t="str">
        <f t="shared" si="29"/>
        <v>1-POR VENCER</v>
      </c>
      <c r="L943" s="7" t="str">
        <f>_xlfn.CONCAT(TEXT(MONTH(DATA[[#This Row],[FECHA DE VENCIMIENTO]]),"00"),"-",TEXT(DATA[[#This Row],[FECHA DE VENCIMIENTO]],"MMM"))</f>
        <v>01-Ene</v>
      </c>
    </row>
    <row r="944" spans="1:12" hidden="1" x14ac:dyDescent="0.3">
      <c r="A944" s="3">
        <v>44887</v>
      </c>
      <c r="B944" s="3">
        <v>44947</v>
      </c>
      <c r="C944" s="4">
        <f t="shared" si="28"/>
        <v>-37</v>
      </c>
      <c r="D944" s="5" t="s">
        <v>702</v>
      </c>
      <c r="E944" s="5">
        <v>20132373958</v>
      </c>
      <c r="F944" s="5" t="s">
        <v>697</v>
      </c>
      <c r="G944" s="5" t="s">
        <v>58</v>
      </c>
      <c r="H944" s="5" t="s">
        <v>7</v>
      </c>
      <c r="I944" s="31">
        <v>6308.28</v>
      </c>
      <c r="J944" s="31">
        <v>0</v>
      </c>
      <c r="K944" s="6" t="str">
        <f t="shared" si="29"/>
        <v>1-POR VENCER</v>
      </c>
      <c r="L944" s="7" t="str">
        <f>_xlfn.CONCAT(TEXT(MONTH(DATA[[#This Row],[FECHA DE VENCIMIENTO]]),"00"),"-",TEXT(DATA[[#This Row],[FECHA DE VENCIMIENTO]],"MMM"))</f>
        <v>01-Ene</v>
      </c>
    </row>
    <row r="945" spans="1:12" hidden="1" x14ac:dyDescent="0.3">
      <c r="A945" s="3">
        <v>44889</v>
      </c>
      <c r="B945" s="3">
        <v>44949</v>
      </c>
      <c r="C945" s="4">
        <f t="shared" si="28"/>
        <v>-39</v>
      </c>
      <c r="D945" s="5" t="s">
        <v>747</v>
      </c>
      <c r="E945" s="5">
        <v>20506421781</v>
      </c>
      <c r="F945" s="5" t="s">
        <v>735</v>
      </c>
      <c r="G945" s="5" t="s">
        <v>33</v>
      </c>
      <c r="H945" s="5" t="s">
        <v>29</v>
      </c>
      <c r="I945" s="31">
        <v>0</v>
      </c>
      <c r="J945" s="31">
        <v>3840.9</v>
      </c>
      <c r="K945" s="6" t="str">
        <f t="shared" si="29"/>
        <v>1-POR VENCER</v>
      </c>
      <c r="L945" s="7" t="str">
        <f>_xlfn.CONCAT(TEXT(MONTH(DATA[[#This Row],[FECHA DE VENCIMIENTO]]),"00"),"-",TEXT(DATA[[#This Row],[FECHA DE VENCIMIENTO]],"MMM"))</f>
        <v>01-Ene</v>
      </c>
    </row>
    <row r="946" spans="1:12" hidden="1" x14ac:dyDescent="0.3">
      <c r="A946" s="3">
        <v>44889</v>
      </c>
      <c r="B946" s="3">
        <v>44949</v>
      </c>
      <c r="C946" s="4">
        <f t="shared" si="28"/>
        <v>-39</v>
      </c>
      <c r="D946" s="5" t="s">
        <v>748</v>
      </c>
      <c r="E946" s="5">
        <v>20506421781</v>
      </c>
      <c r="F946" s="5" t="s">
        <v>735</v>
      </c>
      <c r="G946" s="5" t="s">
        <v>33</v>
      </c>
      <c r="H946" s="5" t="s">
        <v>29</v>
      </c>
      <c r="I946" s="31">
        <v>0</v>
      </c>
      <c r="J946" s="31">
        <v>3840.9</v>
      </c>
      <c r="K946" s="6" t="str">
        <f t="shared" si="29"/>
        <v>1-POR VENCER</v>
      </c>
      <c r="L946" s="7" t="str">
        <f>_xlfn.CONCAT(TEXT(MONTH(DATA[[#This Row],[FECHA DE VENCIMIENTO]]),"00"),"-",TEXT(DATA[[#This Row],[FECHA DE VENCIMIENTO]],"MMM"))</f>
        <v>01-Ene</v>
      </c>
    </row>
    <row r="947" spans="1:12" hidden="1" x14ac:dyDescent="0.3">
      <c r="A947" s="3">
        <v>44889</v>
      </c>
      <c r="B947" s="3">
        <v>44949</v>
      </c>
      <c r="C947" s="4">
        <f t="shared" si="28"/>
        <v>-39</v>
      </c>
      <c r="D947" s="5" t="s">
        <v>753</v>
      </c>
      <c r="E947" s="5">
        <v>20506421781</v>
      </c>
      <c r="F947" s="5" t="s">
        <v>735</v>
      </c>
      <c r="G947" s="5" t="s">
        <v>33</v>
      </c>
      <c r="H947" s="5" t="s">
        <v>29</v>
      </c>
      <c r="I947" s="31">
        <v>0</v>
      </c>
      <c r="J947" s="31">
        <v>4389.6000000000004</v>
      </c>
      <c r="K947" s="6" t="str">
        <f t="shared" si="29"/>
        <v>1-POR VENCER</v>
      </c>
      <c r="L947" s="7" t="str">
        <f>_xlfn.CONCAT(TEXT(MONTH(DATA[[#This Row],[FECHA DE VENCIMIENTO]]),"00"),"-",TEXT(DATA[[#This Row],[FECHA DE VENCIMIENTO]],"MMM"))</f>
        <v>01-Ene</v>
      </c>
    </row>
    <row r="948" spans="1:12" hidden="1" x14ac:dyDescent="0.3">
      <c r="A948" s="3">
        <v>44890</v>
      </c>
      <c r="B948" s="3">
        <v>44950</v>
      </c>
      <c r="C948" s="4">
        <f t="shared" si="28"/>
        <v>-40</v>
      </c>
      <c r="D948" s="5" t="s">
        <v>780</v>
      </c>
      <c r="E948" s="5">
        <v>20439320126</v>
      </c>
      <c r="F948" s="5" t="s">
        <v>777</v>
      </c>
      <c r="G948" s="5" t="s">
        <v>58</v>
      </c>
      <c r="H948" s="5" t="s">
        <v>7</v>
      </c>
      <c r="I948" s="31">
        <v>581.5</v>
      </c>
      <c r="J948" s="31">
        <v>0</v>
      </c>
      <c r="K948" s="6" t="str">
        <f t="shared" si="29"/>
        <v>1-POR VENCER</v>
      </c>
      <c r="L948" s="7" t="str">
        <f>_xlfn.CONCAT(TEXT(MONTH(DATA[[#This Row],[FECHA DE VENCIMIENTO]]),"00"),"-",TEXT(DATA[[#This Row],[FECHA DE VENCIMIENTO]],"MMM"))</f>
        <v>01-Ene</v>
      </c>
    </row>
    <row r="949" spans="1:12" hidden="1" x14ac:dyDescent="0.3">
      <c r="A949" s="3">
        <v>44831</v>
      </c>
      <c r="B949" s="3">
        <v>44951</v>
      </c>
      <c r="C949" s="4">
        <f t="shared" si="28"/>
        <v>-41</v>
      </c>
      <c r="D949" s="5" t="s">
        <v>1230</v>
      </c>
      <c r="E949" s="5">
        <v>20100154308</v>
      </c>
      <c r="F949" s="5" t="s">
        <v>1217</v>
      </c>
      <c r="G949" s="5" t="s">
        <v>16</v>
      </c>
      <c r="H949" s="5" t="s">
        <v>7</v>
      </c>
      <c r="I949" s="31">
        <v>19824</v>
      </c>
      <c r="J949" s="31">
        <v>0</v>
      </c>
      <c r="K949" s="6" t="str">
        <f t="shared" si="29"/>
        <v>1-POR VENCER</v>
      </c>
      <c r="L949" s="7" t="str">
        <f>_xlfn.CONCAT(TEXT(MONTH(DATA[[#This Row],[FECHA DE VENCIMIENTO]]),"00"),"-",TEXT(DATA[[#This Row],[FECHA DE VENCIMIENTO]],"MMM"))</f>
        <v>01-Ene</v>
      </c>
    </row>
    <row r="950" spans="1:12" hidden="1" x14ac:dyDescent="0.3">
      <c r="A950" s="3">
        <v>44893</v>
      </c>
      <c r="B950" s="3">
        <v>44953</v>
      </c>
      <c r="C950" s="4">
        <f t="shared" si="28"/>
        <v>-43</v>
      </c>
      <c r="D950" s="5" t="s">
        <v>1006</v>
      </c>
      <c r="E950" s="5">
        <v>20601433584</v>
      </c>
      <c r="F950" s="5" t="s">
        <v>1003</v>
      </c>
      <c r="G950" s="5" t="s">
        <v>58</v>
      </c>
      <c r="H950" s="5" t="s">
        <v>29</v>
      </c>
      <c r="I950" s="31">
        <v>0</v>
      </c>
      <c r="J950" s="31">
        <v>192.93</v>
      </c>
      <c r="K950" s="6" t="str">
        <f t="shared" si="29"/>
        <v>1-POR VENCER</v>
      </c>
      <c r="L950" s="7" t="str">
        <f>_xlfn.CONCAT(TEXT(MONTH(DATA[[#This Row],[FECHA DE VENCIMIENTO]]),"00"),"-",TEXT(DATA[[#This Row],[FECHA DE VENCIMIENTO]],"MMM"))</f>
        <v>01-Ene</v>
      </c>
    </row>
    <row r="951" spans="1:12" hidden="1" x14ac:dyDescent="0.3">
      <c r="A951" s="3">
        <v>44893</v>
      </c>
      <c r="B951" s="3">
        <v>44953</v>
      </c>
      <c r="C951" s="4">
        <f t="shared" si="28"/>
        <v>-43</v>
      </c>
      <c r="D951" s="5" t="s">
        <v>1039</v>
      </c>
      <c r="E951" s="5">
        <v>20468261082</v>
      </c>
      <c r="F951" s="5" t="s">
        <v>161</v>
      </c>
      <c r="G951" s="5" t="s">
        <v>26</v>
      </c>
      <c r="H951" s="5" t="s">
        <v>7</v>
      </c>
      <c r="I951" s="31">
        <v>2278.91</v>
      </c>
      <c r="J951" s="31">
        <v>0</v>
      </c>
      <c r="K951" s="6" t="str">
        <f t="shared" si="29"/>
        <v>1-POR VENCER</v>
      </c>
      <c r="L951" s="7" t="str">
        <f>_xlfn.CONCAT(TEXT(MONTH(DATA[[#This Row],[FECHA DE VENCIMIENTO]]),"00"),"-",TEXT(DATA[[#This Row],[FECHA DE VENCIMIENTO]],"MMM"))</f>
        <v>01-Ene</v>
      </c>
    </row>
    <row r="952" spans="1:12" hidden="1" x14ac:dyDescent="0.3">
      <c r="A952" s="3">
        <v>44893</v>
      </c>
      <c r="B952" s="3">
        <v>44953</v>
      </c>
      <c r="C952" s="4">
        <f t="shared" si="28"/>
        <v>-43</v>
      </c>
      <c r="D952" s="5" t="s">
        <v>1066</v>
      </c>
      <c r="E952" s="5">
        <v>20468261082</v>
      </c>
      <c r="F952" s="5" t="s">
        <v>161</v>
      </c>
      <c r="G952" s="5" t="s">
        <v>26</v>
      </c>
      <c r="H952" s="5" t="s">
        <v>7</v>
      </c>
      <c r="I952" s="31">
        <v>183.44</v>
      </c>
      <c r="J952" s="31">
        <v>0</v>
      </c>
      <c r="K952" s="6" t="str">
        <f t="shared" si="29"/>
        <v>1-POR VENCER</v>
      </c>
      <c r="L952" s="7" t="str">
        <f>_xlfn.CONCAT(TEXT(MONTH(DATA[[#This Row],[FECHA DE VENCIMIENTO]]),"00"),"-",TEXT(DATA[[#This Row],[FECHA DE VENCIMIENTO]],"MMM"))</f>
        <v>01-Ene</v>
      </c>
    </row>
    <row r="953" spans="1:12" hidden="1" x14ac:dyDescent="0.3">
      <c r="A953" s="3">
        <v>44893</v>
      </c>
      <c r="B953" s="3">
        <v>44953</v>
      </c>
      <c r="C953" s="4">
        <f t="shared" si="28"/>
        <v>-43</v>
      </c>
      <c r="D953" s="5" t="s">
        <v>1206</v>
      </c>
      <c r="E953" s="5">
        <v>20221084684</v>
      </c>
      <c r="F953" s="5" t="s">
        <v>1191</v>
      </c>
      <c r="G953" s="5" t="s">
        <v>16</v>
      </c>
      <c r="H953" s="5" t="s">
        <v>29</v>
      </c>
      <c r="I953" s="31">
        <v>0</v>
      </c>
      <c r="J953" s="31">
        <v>20257.060000000001</v>
      </c>
      <c r="K953" s="6" t="str">
        <f t="shared" si="29"/>
        <v>1-POR VENCER</v>
      </c>
      <c r="L953" s="7" t="str">
        <f>_xlfn.CONCAT(TEXT(MONTH(DATA[[#This Row],[FECHA DE VENCIMIENTO]]),"00"),"-",TEXT(DATA[[#This Row],[FECHA DE VENCIMIENTO]],"MMM"))</f>
        <v>01-Ene</v>
      </c>
    </row>
    <row r="954" spans="1:12" hidden="1" x14ac:dyDescent="0.3">
      <c r="A954" s="3">
        <v>44895</v>
      </c>
      <c r="B954" s="3">
        <v>44955</v>
      </c>
      <c r="C954" s="4">
        <f t="shared" si="28"/>
        <v>-45</v>
      </c>
      <c r="D954" s="5" t="s">
        <v>704</v>
      </c>
      <c r="E954" s="5">
        <v>20132373958</v>
      </c>
      <c r="F954" s="5" t="s">
        <v>697</v>
      </c>
      <c r="G954" s="5" t="s">
        <v>58</v>
      </c>
      <c r="H954" s="5" t="s">
        <v>7</v>
      </c>
      <c r="I954" s="31">
        <v>18504.29</v>
      </c>
      <c r="J954" s="31">
        <v>0</v>
      </c>
      <c r="K954" s="6" t="str">
        <f t="shared" si="29"/>
        <v>1-POR VENCER</v>
      </c>
      <c r="L954" s="7" t="str">
        <f>_xlfn.CONCAT(TEXT(MONTH(DATA[[#This Row],[FECHA DE VENCIMIENTO]]),"00"),"-",TEXT(DATA[[#This Row],[FECHA DE VENCIMIENTO]],"MMM"))</f>
        <v>01-Ene</v>
      </c>
    </row>
    <row r="955" spans="1:12" hidden="1" x14ac:dyDescent="0.3">
      <c r="A955" s="3">
        <v>44895</v>
      </c>
      <c r="B955" s="3">
        <v>44955</v>
      </c>
      <c r="C955" s="4">
        <f t="shared" si="28"/>
        <v>-45</v>
      </c>
      <c r="D955" s="5" t="s">
        <v>705</v>
      </c>
      <c r="E955" s="5">
        <v>20132373958</v>
      </c>
      <c r="F955" s="5" t="s">
        <v>697</v>
      </c>
      <c r="G955" s="5" t="s">
        <v>58</v>
      </c>
      <c r="H955" s="5" t="s">
        <v>7</v>
      </c>
      <c r="I955" s="31">
        <v>2523.31</v>
      </c>
      <c r="J955" s="31">
        <v>0</v>
      </c>
      <c r="K955" s="6" t="str">
        <f t="shared" si="29"/>
        <v>1-POR VENCER</v>
      </c>
      <c r="L955" s="7" t="str">
        <f>_xlfn.CONCAT(TEXT(MONTH(DATA[[#This Row],[FECHA DE VENCIMIENTO]]),"00"),"-",TEXT(DATA[[#This Row],[FECHA DE VENCIMIENTO]],"MMM"))</f>
        <v>01-Ene</v>
      </c>
    </row>
    <row r="956" spans="1:12" hidden="1" x14ac:dyDescent="0.3">
      <c r="A956" s="3">
        <v>44896</v>
      </c>
      <c r="B956" s="3">
        <v>44956</v>
      </c>
      <c r="C956" s="4">
        <f t="shared" si="28"/>
        <v>-46</v>
      </c>
      <c r="D956" s="5" t="s">
        <v>749</v>
      </c>
      <c r="E956" s="5">
        <v>20506421781</v>
      </c>
      <c r="F956" s="5" t="s">
        <v>735</v>
      </c>
      <c r="G956" s="5" t="s">
        <v>33</v>
      </c>
      <c r="H956" s="5" t="s">
        <v>29</v>
      </c>
      <c r="I956" s="31">
        <v>0</v>
      </c>
      <c r="J956" s="31">
        <v>2039.04</v>
      </c>
      <c r="K956" s="6" t="str">
        <f t="shared" si="29"/>
        <v>1-POR VENCER</v>
      </c>
      <c r="L956" s="7" t="str">
        <f>_xlfn.CONCAT(TEXT(MONTH(DATA[[#This Row],[FECHA DE VENCIMIENTO]]),"00"),"-",TEXT(DATA[[#This Row],[FECHA DE VENCIMIENTO]],"MMM"))</f>
        <v>01-Ene</v>
      </c>
    </row>
    <row r="957" spans="1:12" hidden="1" x14ac:dyDescent="0.3">
      <c r="A957" s="3">
        <v>44896</v>
      </c>
      <c r="B957" s="3">
        <v>44956</v>
      </c>
      <c r="C957" s="4">
        <f t="shared" si="28"/>
        <v>-46</v>
      </c>
      <c r="D957" s="5" t="s">
        <v>911</v>
      </c>
      <c r="E957" s="5">
        <v>20155261570</v>
      </c>
      <c r="F957" s="5" t="s">
        <v>355</v>
      </c>
      <c r="G957" s="5" t="s">
        <v>13</v>
      </c>
      <c r="H957" s="5" t="s">
        <v>7</v>
      </c>
      <c r="I957" s="31">
        <v>4722.3599999999997</v>
      </c>
      <c r="J957" s="31">
        <v>0</v>
      </c>
      <c r="K957" s="6" t="str">
        <f t="shared" si="29"/>
        <v>1-POR VENCER</v>
      </c>
      <c r="L957" s="7" t="str">
        <f>_xlfn.CONCAT(TEXT(MONTH(DATA[[#This Row],[FECHA DE VENCIMIENTO]]),"00"),"-",TEXT(DATA[[#This Row],[FECHA DE VENCIMIENTO]],"MMM"))</f>
        <v>01-Ene</v>
      </c>
    </row>
    <row r="958" spans="1:12" hidden="1" x14ac:dyDescent="0.3">
      <c r="A958" s="3">
        <v>44896</v>
      </c>
      <c r="B958" s="3">
        <v>44956</v>
      </c>
      <c r="C958" s="4">
        <f t="shared" si="28"/>
        <v>-46</v>
      </c>
      <c r="D958" s="5" t="s">
        <v>1002</v>
      </c>
      <c r="E958" s="5">
        <v>20601433584</v>
      </c>
      <c r="F958" s="5" t="s">
        <v>1003</v>
      </c>
      <c r="G958" s="5" t="s">
        <v>58</v>
      </c>
      <c r="H958" s="5" t="s">
        <v>29</v>
      </c>
      <c r="I958" s="31">
        <v>0</v>
      </c>
      <c r="J958" s="31">
        <v>856.86</v>
      </c>
      <c r="K958" s="6" t="str">
        <f t="shared" si="29"/>
        <v>1-POR VENCER</v>
      </c>
      <c r="L958" s="7" t="str">
        <f>_xlfn.CONCAT(TEXT(MONTH(DATA[[#This Row],[FECHA DE VENCIMIENTO]]),"00"),"-",TEXT(DATA[[#This Row],[FECHA DE VENCIMIENTO]],"MMM"))</f>
        <v>01-Ene</v>
      </c>
    </row>
    <row r="959" spans="1:12" hidden="1" x14ac:dyDescent="0.3">
      <c r="A959" s="3">
        <v>44896</v>
      </c>
      <c r="B959" s="3">
        <v>44956</v>
      </c>
      <c r="C959" s="4">
        <f t="shared" si="28"/>
        <v>-46</v>
      </c>
      <c r="D959" s="5" t="s">
        <v>1150</v>
      </c>
      <c r="E959" s="5">
        <v>20600728688</v>
      </c>
      <c r="F959" s="5" t="s">
        <v>12</v>
      </c>
      <c r="G959" s="5" t="s">
        <v>13</v>
      </c>
      <c r="H959" s="5" t="s">
        <v>7</v>
      </c>
      <c r="I959" s="31">
        <v>555.26</v>
      </c>
      <c r="J959" s="31">
        <v>0</v>
      </c>
      <c r="K959" s="6" t="str">
        <f t="shared" si="29"/>
        <v>1-POR VENCER</v>
      </c>
      <c r="L959" s="7" t="str">
        <f>_xlfn.CONCAT(TEXT(MONTH(DATA[[#This Row],[FECHA DE VENCIMIENTO]]),"00"),"-",TEXT(DATA[[#This Row],[FECHA DE VENCIMIENTO]],"MMM"))</f>
        <v>01-Ene</v>
      </c>
    </row>
    <row r="960" spans="1:12" hidden="1" x14ac:dyDescent="0.3">
      <c r="A960" s="3">
        <v>44897</v>
      </c>
      <c r="B960" s="3">
        <v>44957</v>
      </c>
      <c r="C960" s="4">
        <f t="shared" si="28"/>
        <v>-47</v>
      </c>
      <c r="D960" s="5" t="s">
        <v>1130</v>
      </c>
      <c r="E960" s="5">
        <v>20600109881</v>
      </c>
      <c r="F960" s="5" t="s">
        <v>1126</v>
      </c>
      <c r="G960" s="5" t="s">
        <v>13</v>
      </c>
      <c r="H960" s="5" t="s">
        <v>7</v>
      </c>
      <c r="I960" s="31">
        <v>18688.13</v>
      </c>
      <c r="J960" s="31">
        <v>0</v>
      </c>
      <c r="K960" s="6" t="str">
        <f t="shared" si="29"/>
        <v>1-POR VENCER</v>
      </c>
      <c r="L960" s="7" t="str">
        <f>_xlfn.CONCAT(TEXT(MONTH(DATA[[#This Row],[FECHA DE VENCIMIENTO]]),"00"),"-",TEXT(DATA[[#This Row],[FECHA DE VENCIMIENTO]],"MMM"))</f>
        <v>01-Ene</v>
      </c>
    </row>
    <row r="961" spans="1:12" hidden="1" x14ac:dyDescent="0.3">
      <c r="A961" s="3">
        <v>44837</v>
      </c>
      <c r="B961" s="3">
        <v>44957</v>
      </c>
      <c r="C961" s="4">
        <f t="shared" si="28"/>
        <v>-47</v>
      </c>
      <c r="D961" s="5" t="s">
        <v>1227</v>
      </c>
      <c r="E961" s="5">
        <v>20100154308</v>
      </c>
      <c r="F961" s="5" t="s">
        <v>1217</v>
      </c>
      <c r="G961" s="5" t="s">
        <v>16</v>
      </c>
      <c r="H961" s="5" t="s">
        <v>7</v>
      </c>
      <c r="I961" s="31">
        <v>14962.4</v>
      </c>
      <c r="J961" s="31">
        <v>0</v>
      </c>
      <c r="K961" s="6" t="str">
        <f t="shared" si="29"/>
        <v>1-POR VENCER</v>
      </c>
      <c r="L961" s="7" t="str">
        <f>_xlfn.CONCAT(TEXT(MONTH(DATA[[#This Row],[FECHA DE VENCIMIENTO]]),"00"),"-",TEXT(DATA[[#This Row],[FECHA DE VENCIMIENTO]],"MMM"))</f>
        <v>01-Ene</v>
      </c>
    </row>
    <row r="962" spans="1:12" hidden="1" x14ac:dyDescent="0.3">
      <c r="A962" s="3">
        <v>44837</v>
      </c>
      <c r="B962" s="3">
        <v>44957</v>
      </c>
      <c r="C962" s="4">
        <f t="shared" si="28"/>
        <v>-47</v>
      </c>
      <c r="D962" s="5" t="s">
        <v>1228</v>
      </c>
      <c r="E962" s="5">
        <v>20100154308</v>
      </c>
      <c r="F962" s="5" t="s">
        <v>1217</v>
      </c>
      <c r="G962" s="5" t="s">
        <v>16</v>
      </c>
      <c r="H962" s="5" t="s">
        <v>7</v>
      </c>
      <c r="I962" s="31">
        <v>19824</v>
      </c>
      <c r="J962" s="31">
        <v>0</v>
      </c>
      <c r="K962" s="6" t="str">
        <f t="shared" si="29"/>
        <v>1-POR VENCER</v>
      </c>
      <c r="L962" s="7" t="str">
        <f>_xlfn.CONCAT(TEXT(MONTH(DATA[[#This Row],[FECHA DE VENCIMIENTO]]),"00"),"-",TEXT(DATA[[#This Row],[FECHA DE VENCIMIENTO]],"MMM"))</f>
        <v>01-Ene</v>
      </c>
    </row>
    <row r="963" spans="1:12" hidden="1" x14ac:dyDescent="0.3">
      <c r="A963" s="3">
        <v>44898</v>
      </c>
      <c r="B963" s="3">
        <v>44958</v>
      </c>
      <c r="C963" s="4">
        <f t="shared" si="28"/>
        <v>-48</v>
      </c>
      <c r="D963" s="5" t="s">
        <v>1005</v>
      </c>
      <c r="E963" s="5">
        <v>20601433584</v>
      </c>
      <c r="F963" s="5" t="s">
        <v>1003</v>
      </c>
      <c r="G963" s="5" t="s">
        <v>58</v>
      </c>
      <c r="H963" s="5" t="s">
        <v>29</v>
      </c>
      <c r="I963" s="31">
        <v>0</v>
      </c>
      <c r="J963" s="31">
        <v>313.11</v>
      </c>
      <c r="K963" s="6" t="str">
        <f t="shared" si="29"/>
        <v>1-POR VENCER</v>
      </c>
      <c r="L963" s="7" t="str">
        <f>_xlfn.CONCAT(TEXT(MONTH(DATA[[#This Row],[FECHA DE VENCIMIENTO]]),"00"),"-",TEXT(DATA[[#This Row],[FECHA DE VENCIMIENTO]],"MMM"))</f>
        <v>02-Feb</v>
      </c>
    </row>
    <row r="964" spans="1:12" hidden="1" x14ac:dyDescent="0.3">
      <c r="A964" s="3">
        <v>44900</v>
      </c>
      <c r="B964" s="3">
        <v>44960</v>
      </c>
      <c r="C964" s="4">
        <f t="shared" ref="C964:C999" si="30">$E$2-B964</f>
        <v>-50</v>
      </c>
      <c r="D964" s="5" t="s">
        <v>913</v>
      </c>
      <c r="E964" s="5">
        <v>20155261570</v>
      </c>
      <c r="F964" s="5" t="s">
        <v>355</v>
      </c>
      <c r="G964" s="5" t="s">
        <v>13</v>
      </c>
      <c r="H964" s="5" t="s">
        <v>7</v>
      </c>
      <c r="I964" s="31">
        <v>2706.33</v>
      </c>
      <c r="J964" s="31">
        <v>0</v>
      </c>
      <c r="K964" s="6" t="str">
        <f t="shared" ref="K964:K999" si="31">IF(C964&gt;180,"180 &lt;= 360 DIAS",IF(C964&gt;90,"90 &lt;= 180 DIAS",IF(C964&gt;60,"60 &lt;= 90 DIAS",IF(C964&gt;30,"30 &lt;= 60 DIAS",IF(C964&gt;15,"15 &lt;= 30 DIAS","1-POR VENCER")))))</f>
        <v>1-POR VENCER</v>
      </c>
      <c r="L964" s="7" t="str">
        <f>_xlfn.CONCAT(TEXT(MONTH(DATA[[#This Row],[FECHA DE VENCIMIENTO]]),"00"),"-",TEXT(DATA[[#This Row],[FECHA DE VENCIMIENTO]],"MMM"))</f>
        <v>02-Feb</v>
      </c>
    </row>
    <row r="965" spans="1:12" hidden="1" x14ac:dyDescent="0.3">
      <c r="A965" s="3">
        <v>44900</v>
      </c>
      <c r="B965" s="3">
        <v>44960</v>
      </c>
      <c r="C965" s="4">
        <f t="shared" si="30"/>
        <v>-50</v>
      </c>
      <c r="D965" s="5" t="s">
        <v>1038</v>
      </c>
      <c r="E965" s="5">
        <v>20468261082</v>
      </c>
      <c r="F965" s="5" t="s">
        <v>161</v>
      </c>
      <c r="G965" s="5" t="s">
        <v>26</v>
      </c>
      <c r="H965" s="5" t="s">
        <v>7</v>
      </c>
      <c r="I965" s="31">
        <v>32805.89</v>
      </c>
      <c r="J965" s="31">
        <v>0</v>
      </c>
      <c r="K965" s="6" t="str">
        <f t="shared" si="31"/>
        <v>1-POR VENCER</v>
      </c>
      <c r="L965" s="7" t="str">
        <f>_xlfn.CONCAT(TEXT(MONTH(DATA[[#This Row],[FECHA DE VENCIMIENTO]]),"00"),"-",TEXT(DATA[[#This Row],[FECHA DE VENCIMIENTO]],"MMM"))</f>
        <v>02-Feb</v>
      </c>
    </row>
    <row r="966" spans="1:12" hidden="1" x14ac:dyDescent="0.3">
      <c r="A966" s="3">
        <v>44901</v>
      </c>
      <c r="B966" s="3">
        <v>44961</v>
      </c>
      <c r="C966" s="4">
        <f t="shared" si="30"/>
        <v>-51</v>
      </c>
      <c r="D966" s="5" t="s">
        <v>750</v>
      </c>
      <c r="E966" s="5">
        <v>20506421781</v>
      </c>
      <c r="F966" s="5" t="s">
        <v>735</v>
      </c>
      <c r="G966" s="5" t="s">
        <v>33</v>
      </c>
      <c r="H966" s="5" t="s">
        <v>29</v>
      </c>
      <c r="I966" s="31">
        <v>0</v>
      </c>
      <c r="J966" s="31">
        <v>339.84</v>
      </c>
      <c r="K966" s="6" t="str">
        <f t="shared" si="31"/>
        <v>1-POR VENCER</v>
      </c>
      <c r="L966" s="7" t="str">
        <f>_xlfn.CONCAT(TEXT(MONTH(DATA[[#This Row],[FECHA DE VENCIMIENTO]]),"00"),"-",TEXT(DATA[[#This Row],[FECHA DE VENCIMIENTO]],"MMM"))</f>
        <v>02-Feb</v>
      </c>
    </row>
    <row r="967" spans="1:12" hidden="1" x14ac:dyDescent="0.3">
      <c r="A967" s="3">
        <v>44901</v>
      </c>
      <c r="B967" s="3">
        <v>44961</v>
      </c>
      <c r="C967" s="4">
        <f t="shared" si="30"/>
        <v>-51</v>
      </c>
      <c r="D967" s="5" t="s">
        <v>1102</v>
      </c>
      <c r="E967" s="5">
        <v>20100182263</v>
      </c>
      <c r="F967" s="5" t="s">
        <v>1100</v>
      </c>
      <c r="G967" s="5" t="s">
        <v>26</v>
      </c>
      <c r="H967" s="5" t="s">
        <v>29</v>
      </c>
      <c r="I967" s="31">
        <v>0</v>
      </c>
      <c r="J967" s="31">
        <v>944</v>
      </c>
      <c r="K967" s="6" t="str">
        <f t="shared" si="31"/>
        <v>1-POR VENCER</v>
      </c>
      <c r="L967" s="7" t="str">
        <f>_xlfn.CONCAT(TEXT(MONTH(DATA[[#This Row],[FECHA DE VENCIMIENTO]]),"00"),"-",TEXT(DATA[[#This Row],[FECHA DE VENCIMIENTO]],"MMM"))</f>
        <v>02-Feb</v>
      </c>
    </row>
    <row r="968" spans="1:12" ht="31.2" hidden="1" x14ac:dyDescent="0.3">
      <c r="A968" s="3">
        <v>44901</v>
      </c>
      <c r="B968" s="3">
        <v>44961</v>
      </c>
      <c r="C968" s="4">
        <f t="shared" si="30"/>
        <v>-51</v>
      </c>
      <c r="D968" s="5" t="s">
        <v>1169</v>
      </c>
      <c r="E968" s="5">
        <v>20334218857</v>
      </c>
      <c r="F968" s="5" t="s">
        <v>1170</v>
      </c>
      <c r="G968" s="5" t="s">
        <v>46</v>
      </c>
      <c r="H968" s="5" t="s">
        <v>29</v>
      </c>
      <c r="I968" s="31">
        <v>0</v>
      </c>
      <c r="J968" s="31">
        <v>4366</v>
      </c>
      <c r="K968" s="6" t="str">
        <f t="shared" si="31"/>
        <v>1-POR VENCER</v>
      </c>
      <c r="L968" s="7" t="str">
        <f>_xlfn.CONCAT(TEXT(MONTH(DATA[[#This Row],[FECHA DE VENCIMIENTO]]),"00"),"-",TEXT(DATA[[#This Row],[FECHA DE VENCIMIENTO]],"MMM"))</f>
        <v>02-Feb</v>
      </c>
    </row>
    <row r="969" spans="1:12" hidden="1" x14ac:dyDescent="0.3">
      <c r="A969" s="3">
        <v>44901</v>
      </c>
      <c r="B969" s="3">
        <v>44961</v>
      </c>
      <c r="C969" s="4">
        <f t="shared" si="30"/>
        <v>-51</v>
      </c>
      <c r="D969" s="5" t="s">
        <v>1262</v>
      </c>
      <c r="E969" s="5">
        <v>20505120702</v>
      </c>
      <c r="F969" s="5" t="s">
        <v>1259</v>
      </c>
      <c r="G969" s="5" t="s">
        <v>58</v>
      </c>
      <c r="H969" s="5" t="s">
        <v>7</v>
      </c>
      <c r="I969" s="31">
        <v>6985.6</v>
      </c>
      <c r="J969" s="31">
        <v>0</v>
      </c>
      <c r="K969" s="6" t="str">
        <f t="shared" si="31"/>
        <v>1-POR VENCER</v>
      </c>
      <c r="L969" s="7" t="str">
        <f>_xlfn.CONCAT(TEXT(MONTH(DATA[[#This Row],[FECHA DE VENCIMIENTO]]),"00"),"-",TEXT(DATA[[#This Row],[FECHA DE VENCIMIENTO]],"MMM"))</f>
        <v>02-Feb</v>
      </c>
    </row>
    <row r="970" spans="1:12" hidden="1" x14ac:dyDescent="0.3">
      <c r="A970" s="3">
        <v>44901</v>
      </c>
      <c r="B970" s="3">
        <v>44961</v>
      </c>
      <c r="C970" s="4">
        <f t="shared" si="30"/>
        <v>-51</v>
      </c>
      <c r="D970" s="5" t="s">
        <v>1275</v>
      </c>
      <c r="E970" s="5">
        <v>20609609711</v>
      </c>
      <c r="F970" s="5" t="s">
        <v>1272</v>
      </c>
      <c r="G970" s="5" t="s">
        <v>13</v>
      </c>
      <c r="H970" s="5" t="s">
        <v>7</v>
      </c>
      <c r="I970" s="31">
        <v>7975.86</v>
      </c>
      <c r="J970" s="31">
        <v>0</v>
      </c>
      <c r="K970" s="6" t="str">
        <f t="shared" si="31"/>
        <v>1-POR VENCER</v>
      </c>
      <c r="L970" s="7" t="str">
        <f>_xlfn.CONCAT(TEXT(MONTH(DATA[[#This Row],[FECHA DE VENCIMIENTO]]),"00"),"-",TEXT(DATA[[#This Row],[FECHA DE VENCIMIENTO]],"MMM"))</f>
        <v>02-Feb</v>
      </c>
    </row>
    <row r="971" spans="1:12" hidden="1" x14ac:dyDescent="0.3">
      <c r="A971" s="3">
        <v>44902</v>
      </c>
      <c r="B971" s="3">
        <v>44962</v>
      </c>
      <c r="C971" s="4">
        <f t="shared" si="30"/>
        <v>-52</v>
      </c>
      <c r="D971" s="5" t="s">
        <v>751</v>
      </c>
      <c r="E971" s="5">
        <v>20506421781</v>
      </c>
      <c r="F971" s="5" t="s">
        <v>735</v>
      </c>
      <c r="G971" s="5" t="s">
        <v>33</v>
      </c>
      <c r="H971" s="5" t="s">
        <v>29</v>
      </c>
      <c r="I971" s="31">
        <v>0</v>
      </c>
      <c r="J971" s="31">
        <v>1461.31</v>
      </c>
      <c r="K971" s="6" t="str">
        <f t="shared" si="31"/>
        <v>1-POR VENCER</v>
      </c>
      <c r="L971" s="7" t="str">
        <f>_xlfn.CONCAT(TEXT(MONTH(DATA[[#This Row],[FECHA DE VENCIMIENTO]]),"00"),"-",TEXT(DATA[[#This Row],[FECHA DE VENCIMIENTO]],"MMM"))</f>
        <v>02-Feb</v>
      </c>
    </row>
    <row r="972" spans="1:12" hidden="1" x14ac:dyDescent="0.3">
      <c r="A972" s="3">
        <v>44902</v>
      </c>
      <c r="B972" s="3">
        <v>44962</v>
      </c>
      <c r="C972" s="4">
        <f t="shared" si="30"/>
        <v>-52</v>
      </c>
      <c r="D972" s="5" t="s">
        <v>752</v>
      </c>
      <c r="E972" s="5">
        <v>20506421781</v>
      </c>
      <c r="F972" s="5" t="s">
        <v>735</v>
      </c>
      <c r="G972" s="5" t="s">
        <v>33</v>
      </c>
      <c r="H972" s="5" t="s">
        <v>29</v>
      </c>
      <c r="I972" s="31">
        <v>0</v>
      </c>
      <c r="J972" s="31">
        <v>2378.88</v>
      </c>
      <c r="K972" s="6" t="str">
        <f t="shared" si="31"/>
        <v>1-POR VENCER</v>
      </c>
      <c r="L972" s="7" t="str">
        <f>_xlfn.CONCAT(TEXT(MONTH(DATA[[#This Row],[FECHA DE VENCIMIENTO]]),"00"),"-",TEXT(DATA[[#This Row],[FECHA DE VENCIMIENTO]],"MMM"))</f>
        <v>02-Feb</v>
      </c>
    </row>
    <row r="973" spans="1:12" ht="31.2" hidden="1" x14ac:dyDescent="0.3">
      <c r="A973" s="3">
        <v>44902</v>
      </c>
      <c r="B973" s="3">
        <v>44962</v>
      </c>
      <c r="C973" s="4">
        <f t="shared" si="30"/>
        <v>-52</v>
      </c>
      <c r="D973" s="5" t="s">
        <v>763</v>
      </c>
      <c r="E973" s="5">
        <v>20494022797</v>
      </c>
      <c r="F973" s="5" t="s">
        <v>377</v>
      </c>
      <c r="G973" s="5" t="s">
        <v>46</v>
      </c>
      <c r="H973" s="5" t="s">
        <v>7</v>
      </c>
      <c r="I973" s="31">
        <v>21502.18</v>
      </c>
      <c r="J973" s="31">
        <v>0</v>
      </c>
      <c r="K973" s="6" t="str">
        <f t="shared" si="31"/>
        <v>1-POR VENCER</v>
      </c>
      <c r="L973" s="7" t="str">
        <f>_xlfn.CONCAT(TEXT(MONTH(DATA[[#This Row],[FECHA DE VENCIMIENTO]]),"00"),"-",TEXT(DATA[[#This Row],[FECHA DE VENCIMIENTO]],"MMM"))</f>
        <v>02-Feb</v>
      </c>
    </row>
    <row r="974" spans="1:12" hidden="1" x14ac:dyDescent="0.3">
      <c r="A974" s="3">
        <v>44846</v>
      </c>
      <c r="B974" s="3">
        <v>44966</v>
      </c>
      <c r="C974" s="4">
        <f t="shared" si="30"/>
        <v>-56</v>
      </c>
      <c r="D974" s="5" t="s">
        <v>1225</v>
      </c>
      <c r="E974" s="5">
        <v>20100154308</v>
      </c>
      <c r="F974" s="5" t="s">
        <v>1217</v>
      </c>
      <c r="G974" s="5" t="s">
        <v>16</v>
      </c>
      <c r="H974" s="5" t="s">
        <v>7</v>
      </c>
      <c r="I974" s="31">
        <v>2467.2399999999998</v>
      </c>
      <c r="J974" s="31">
        <v>0</v>
      </c>
      <c r="K974" s="6" t="str">
        <f t="shared" si="31"/>
        <v>1-POR VENCER</v>
      </c>
      <c r="L974" s="7" t="str">
        <f>_xlfn.CONCAT(TEXT(MONTH(DATA[[#This Row],[FECHA DE VENCIMIENTO]]),"00"),"-",TEXT(DATA[[#This Row],[FECHA DE VENCIMIENTO]],"MMM"))</f>
        <v>02-Feb</v>
      </c>
    </row>
    <row r="975" spans="1:12" hidden="1" x14ac:dyDescent="0.3">
      <c r="A975" s="3">
        <v>44846</v>
      </c>
      <c r="B975" s="3">
        <v>44966</v>
      </c>
      <c r="C975" s="4">
        <f t="shared" si="30"/>
        <v>-56</v>
      </c>
      <c r="D975" s="5" t="s">
        <v>1245</v>
      </c>
      <c r="E975" s="5">
        <v>20100154308</v>
      </c>
      <c r="F975" s="5" t="s">
        <v>1217</v>
      </c>
      <c r="G975" s="5" t="s">
        <v>16</v>
      </c>
      <c r="H975" s="5" t="s">
        <v>7</v>
      </c>
      <c r="I975" s="31">
        <v>1170.58</v>
      </c>
      <c r="J975" s="31">
        <v>0</v>
      </c>
      <c r="K975" s="6" t="str">
        <f t="shared" si="31"/>
        <v>1-POR VENCER</v>
      </c>
      <c r="L975" s="7" t="str">
        <f>_xlfn.CONCAT(TEXT(MONTH(DATA[[#This Row],[FECHA DE VENCIMIENTO]]),"00"),"-",TEXT(DATA[[#This Row],[FECHA DE VENCIMIENTO]],"MMM"))</f>
        <v>02-Feb</v>
      </c>
    </row>
    <row r="976" spans="1:12" hidden="1" x14ac:dyDescent="0.3">
      <c r="A976" s="3">
        <v>44846</v>
      </c>
      <c r="B976" s="3">
        <v>44966</v>
      </c>
      <c r="C976" s="4">
        <f t="shared" si="30"/>
        <v>-56</v>
      </c>
      <c r="D976" s="5" t="s">
        <v>1246</v>
      </c>
      <c r="E976" s="5">
        <v>20100154308</v>
      </c>
      <c r="F976" s="5" t="s">
        <v>1217</v>
      </c>
      <c r="G976" s="5" t="s">
        <v>16</v>
      </c>
      <c r="H976" s="5" t="s">
        <v>7</v>
      </c>
      <c r="I976" s="31">
        <v>1219</v>
      </c>
      <c r="J976" s="31">
        <v>0</v>
      </c>
      <c r="K976" s="6" t="str">
        <f t="shared" si="31"/>
        <v>1-POR VENCER</v>
      </c>
      <c r="L976" s="7" t="str">
        <f>_xlfn.CONCAT(TEXT(MONTH(DATA[[#This Row],[FECHA DE VENCIMIENTO]]),"00"),"-",TEXT(DATA[[#This Row],[FECHA DE VENCIMIENTO]],"MMM"))</f>
        <v>02-Feb</v>
      </c>
    </row>
    <row r="977" spans="1:12" hidden="1" x14ac:dyDescent="0.3">
      <c r="A977" s="3">
        <v>44846</v>
      </c>
      <c r="B977" s="3">
        <v>44966</v>
      </c>
      <c r="C977" s="4">
        <f t="shared" si="30"/>
        <v>-56</v>
      </c>
      <c r="D977" s="5" t="s">
        <v>1247</v>
      </c>
      <c r="E977" s="5">
        <v>20100154308</v>
      </c>
      <c r="F977" s="5" t="s">
        <v>1217</v>
      </c>
      <c r="G977" s="5" t="s">
        <v>16</v>
      </c>
      <c r="H977" s="5" t="s">
        <v>7</v>
      </c>
      <c r="I977" s="31">
        <v>1422.26</v>
      </c>
      <c r="J977" s="31">
        <v>0</v>
      </c>
      <c r="K977" s="6" t="str">
        <f t="shared" si="31"/>
        <v>1-POR VENCER</v>
      </c>
      <c r="L977" s="7" t="str">
        <f>_xlfn.CONCAT(TEXT(MONTH(DATA[[#This Row],[FECHA DE VENCIMIENTO]]),"00"),"-",TEXT(DATA[[#This Row],[FECHA DE VENCIMIENTO]],"MMM"))</f>
        <v>02-Feb</v>
      </c>
    </row>
    <row r="978" spans="1:12" hidden="1" x14ac:dyDescent="0.3">
      <c r="A978" s="3">
        <v>44907</v>
      </c>
      <c r="B978" s="3">
        <v>44967</v>
      </c>
      <c r="C978" s="4">
        <f t="shared" si="30"/>
        <v>-57</v>
      </c>
      <c r="D978" s="5" t="s">
        <v>628</v>
      </c>
      <c r="E978" s="5">
        <v>20487823377</v>
      </c>
      <c r="F978" s="5" t="s">
        <v>627</v>
      </c>
      <c r="G978" s="5" t="s">
        <v>58</v>
      </c>
      <c r="H978" s="5" t="s">
        <v>29</v>
      </c>
      <c r="I978" s="31">
        <v>0</v>
      </c>
      <c r="J978" s="31">
        <v>582.63</v>
      </c>
      <c r="K978" s="6" t="str">
        <f t="shared" si="31"/>
        <v>1-POR VENCER</v>
      </c>
      <c r="L978" s="7" t="str">
        <f>_xlfn.CONCAT(TEXT(MONTH(DATA[[#This Row],[FECHA DE VENCIMIENTO]]),"00"),"-",TEXT(DATA[[#This Row],[FECHA DE VENCIMIENTO]],"MMM"))</f>
        <v>02-Feb</v>
      </c>
    </row>
    <row r="979" spans="1:12" hidden="1" x14ac:dyDescent="0.3">
      <c r="A979" s="3">
        <v>44907</v>
      </c>
      <c r="B979" s="3">
        <v>44967</v>
      </c>
      <c r="C979" s="4">
        <f t="shared" si="30"/>
        <v>-57</v>
      </c>
      <c r="D979" s="5" t="s">
        <v>754</v>
      </c>
      <c r="E979" s="5">
        <v>20506421781</v>
      </c>
      <c r="F979" s="5" t="s">
        <v>735</v>
      </c>
      <c r="G979" s="5" t="s">
        <v>33</v>
      </c>
      <c r="H979" s="5" t="s">
        <v>29</v>
      </c>
      <c r="I979" s="31">
        <v>0</v>
      </c>
      <c r="J979" s="31">
        <v>815.62</v>
      </c>
      <c r="K979" s="6" t="str">
        <f t="shared" si="31"/>
        <v>1-POR VENCER</v>
      </c>
      <c r="L979" s="7" t="str">
        <f>_xlfn.CONCAT(TEXT(MONTH(DATA[[#This Row],[FECHA DE VENCIMIENTO]]),"00"),"-",TEXT(DATA[[#This Row],[FECHA DE VENCIMIENTO]],"MMM"))</f>
        <v>02-Feb</v>
      </c>
    </row>
    <row r="980" spans="1:12" hidden="1" x14ac:dyDescent="0.3">
      <c r="A980" s="3">
        <v>44907</v>
      </c>
      <c r="B980" s="3">
        <v>44967</v>
      </c>
      <c r="C980" s="4">
        <f t="shared" si="30"/>
        <v>-57</v>
      </c>
      <c r="D980" s="5" t="s">
        <v>809</v>
      </c>
      <c r="E980" s="5">
        <v>20467089464</v>
      </c>
      <c r="F980" s="5" t="s">
        <v>810</v>
      </c>
      <c r="G980" s="5" t="s">
        <v>26</v>
      </c>
      <c r="H980" s="5" t="s">
        <v>29</v>
      </c>
      <c r="I980" s="31">
        <v>0</v>
      </c>
      <c r="J980" s="31">
        <v>1130.68</v>
      </c>
      <c r="K980" s="6" t="str">
        <f t="shared" si="31"/>
        <v>1-POR VENCER</v>
      </c>
      <c r="L980" s="7" t="str">
        <f>_xlfn.CONCAT(TEXT(MONTH(DATA[[#This Row],[FECHA DE VENCIMIENTO]]),"00"),"-",TEXT(DATA[[#This Row],[FECHA DE VENCIMIENTO]],"MMM"))</f>
        <v>02-Feb</v>
      </c>
    </row>
    <row r="981" spans="1:12" hidden="1" x14ac:dyDescent="0.3">
      <c r="A981" s="3">
        <v>44907</v>
      </c>
      <c r="B981" s="3">
        <v>44967</v>
      </c>
      <c r="C981" s="4">
        <f t="shared" si="30"/>
        <v>-57</v>
      </c>
      <c r="D981" s="5" t="s">
        <v>1148</v>
      </c>
      <c r="E981" s="5">
        <v>20600728688</v>
      </c>
      <c r="F981" s="5" t="s">
        <v>12</v>
      </c>
      <c r="G981" s="5" t="s">
        <v>13</v>
      </c>
      <c r="H981" s="5" t="s">
        <v>7</v>
      </c>
      <c r="I981" s="31">
        <v>1777.79</v>
      </c>
      <c r="J981" s="31">
        <v>0</v>
      </c>
      <c r="K981" s="6" t="str">
        <f t="shared" si="31"/>
        <v>1-POR VENCER</v>
      </c>
      <c r="L981" s="7" t="str">
        <f>_xlfn.CONCAT(TEXT(MONTH(DATA[[#This Row],[FECHA DE VENCIMIENTO]]),"00"),"-",TEXT(DATA[[#This Row],[FECHA DE VENCIMIENTO]],"MMM"))</f>
        <v>02-Feb</v>
      </c>
    </row>
    <row r="982" spans="1:12" hidden="1" x14ac:dyDescent="0.3">
      <c r="A982" s="3">
        <v>44908</v>
      </c>
      <c r="B982" s="3">
        <v>44968</v>
      </c>
      <c r="C982" s="4">
        <f t="shared" si="30"/>
        <v>-58</v>
      </c>
      <c r="D982" s="5" t="s">
        <v>1193</v>
      </c>
      <c r="E982" s="5">
        <v>20221084684</v>
      </c>
      <c r="F982" s="5" t="s">
        <v>1191</v>
      </c>
      <c r="G982" s="5" t="s">
        <v>16</v>
      </c>
      <c r="H982" s="5" t="s">
        <v>7</v>
      </c>
      <c r="I982" s="31">
        <v>56640</v>
      </c>
      <c r="J982" s="31">
        <v>0</v>
      </c>
      <c r="K982" s="6" t="str">
        <f t="shared" si="31"/>
        <v>1-POR VENCER</v>
      </c>
      <c r="L982" s="7" t="str">
        <f>_xlfn.CONCAT(TEXT(MONTH(DATA[[#This Row],[FECHA DE VENCIMIENTO]]),"00"),"-",TEXT(DATA[[#This Row],[FECHA DE VENCIMIENTO]],"MMM"))</f>
        <v>02-Feb</v>
      </c>
    </row>
    <row r="983" spans="1:12" hidden="1" x14ac:dyDescent="0.3">
      <c r="A983" s="3">
        <v>44908</v>
      </c>
      <c r="B983" s="3">
        <v>44968</v>
      </c>
      <c r="C983" s="4">
        <f t="shared" si="30"/>
        <v>-58</v>
      </c>
      <c r="D983" s="5" t="s">
        <v>1194</v>
      </c>
      <c r="E983" s="5">
        <v>20221084684</v>
      </c>
      <c r="F983" s="5" t="s">
        <v>1191</v>
      </c>
      <c r="G983" s="5" t="s">
        <v>16</v>
      </c>
      <c r="H983" s="5" t="s">
        <v>7</v>
      </c>
      <c r="I983" s="31">
        <v>226560</v>
      </c>
      <c r="J983" s="31">
        <v>0</v>
      </c>
      <c r="K983" s="6" t="str">
        <f t="shared" si="31"/>
        <v>1-POR VENCER</v>
      </c>
      <c r="L983" s="7" t="str">
        <f>_xlfn.CONCAT(TEXT(MONTH(DATA[[#This Row],[FECHA DE VENCIMIENTO]]),"00"),"-",TEXT(DATA[[#This Row],[FECHA DE VENCIMIENTO]],"MMM"))</f>
        <v>02-Feb</v>
      </c>
    </row>
    <row r="984" spans="1:12" hidden="1" x14ac:dyDescent="0.3">
      <c r="A984" s="3">
        <v>44908</v>
      </c>
      <c r="B984" s="3">
        <v>44968</v>
      </c>
      <c r="C984" s="4">
        <f t="shared" si="30"/>
        <v>-58</v>
      </c>
      <c r="D984" s="5" t="s">
        <v>1196</v>
      </c>
      <c r="E984" s="5">
        <v>20221084684</v>
      </c>
      <c r="F984" s="5" t="s">
        <v>1191</v>
      </c>
      <c r="G984" s="5" t="s">
        <v>16</v>
      </c>
      <c r="H984" s="5" t="s">
        <v>29</v>
      </c>
      <c r="I984" s="31">
        <v>0</v>
      </c>
      <c r="J984" s="31">
        <v>22354.16</v>
      </c>
      <c r="K984" s="6" t="str">
        <f t="shared" si="31"/>
        <v>1-POR VENCER</v>
      </c>
      <c r="L984" s="7" t="str">
        <f>_xlfn.CONCAT(TEXT(MONTH(DATA[[#This Row],[FECHA DE VENCIMIENTO]]),"00"),"-",TEXT(DATA[[#This Row],[FECHA DE VENCIMIENTO]],"MMM"))</f>
        <v>02-Feb</v>
      </c>
    </row>
    <row r="985" spans="1:12" hidden="1" x14ac:dyDescent="0.3">
      <c r="A985" s="3">
        <v>44909</v>
      </c>
      <c r="B985" s="3">
        <v>44969</v>
      </c>
      <c r="C985" s="4">
        <f t="shared" si="30"/>
        <v>-59</v>
      </c>
      <c r="D985" s="5" t="s">
        <v>1037</v>
      </c>
      <c r="E985" s="5">
        <v>20468261082</v>
      </c>
      <c r="F985" s="5" t="s">
        <v>161</v>
      </c>
      <c r="G985" s="5" t="s">
        <v>26</v>
      </c>
      <c r="H985" s="5" t="s">
        <v>7</v>
      </c>
      <c r="I985" s="31">
        <v>23333.200000000001</v>
      </c>
      <c r="J985" s="31">
        <v>0</v>
      </c>
      <c r="K985" s="6" t="str">
        <f t="shared" si="31"/>
        <v>1-POR VENCER</v>
      </c>
      <c r="L985" s="7" t="str">
        <f>_xlfn.CONCAT(TEXT(MONTH(DATA[[#This Row],[FECHA DE VENCIMIENTO]]),"00"),"-",TEXT(DATA[[#This Row],[FECHA DE VENCIMIENTO]],"MMM"))</f>
        <v>02-Feb</v>
      </c>
    </row>
    <row r="986" spans="1:12" hidden="1" x14ac:dyDescent="0.3">
      <c r="A986" s="3">
        <v>44909</v>
      </c>
      <c r="B986" s="3">
        <v>44969</v>
      </c>
      <c r="C986" s="4">
        <f t="shared" si="30"/>
        <v>-59</v>
      </c>
      <c r="D986" s="5" t="s">
        <v>1146</v>
      </c>
      <c r="E986" s="5">
        <v>20600728688</v>
      </c>
      <c r="F986" s="5" t="s">
        <v>12</v>
      </c>
      <c r="G986" s="5" t="s">
        <v>13</v>
      </c>
      <c r="H986" s="5" t="s">
        <v>7</v>
      </c>
      <c r="I986" s="31">
        <v>1240.8900000000001</v>
      </c>
      <c r="J986" s="31">
        <v>0</v>
      </c>
      <c r="K986" s="6" t="str">
        <f t="shared" si="31"/>
        <v>1-POR VENCER</v>
      </c>
      <c r="L986" s="7" t="str">
        <f>_xlfn.CONCAT(TEXT(MONTH(DATA[[#This Row],[FECHA DE VENCIMIENTO]]),"00"),"-",TEXT(DATA[[#This Row],[FECHA DE VENCIMIENTO]],"MMM"))</f>
        <v>02-Feb</v>
      </c>
    </row>
    <row r="987" spans="1:12" hidden="1" x14ac:dyDescent="0.3">
      <c r="A987" s="3">
        <v>44859</v>
      </c>
      <c r="B987" s="3">
        <v>44979</v>
      </c>
      <c r="C987" s="4">
        <f t="shared" si="30"/>
        <v>-69</v>
      </c>
      <c r="D987" s="5" t="s">
        <v>1224</v>
      </c>
      <c r="E987" s="5">
        <v>20100154308</v>
      </c>
      <c r="F987" s="5" t="s">
        <v>1217</v>
      </c>
      <c r="G987" s="5" t="s">
        <v>16</v>
      </c>
      <c r="H987" s="5" t="s">
        <v>29</v>
      </c>
      <c r="I987" s="31">
        <v>0</v>
      </c>
      <c r="J987" s="31">
        <v>7422.2</v>
      </c>
      <c r="K987" s="6" t="str">
        <f t="shared" si="31"/>
        <v>1-POR VENCER</v>
      </c>
      <c r="L987" s="7" t="str">
        <f>_xlfn.CONCAT(TEXT(MONTH(DATA[[#This Row],[FECHA DE VENCIMIENTO]]),"00"),"-",TEXT(DATA[[#This Row],[FECHA DE VENCIMIENTO]],"MMM"))</f>
        <v>02-Feb</v>
      </c>
    </row>
    <row r="988" spans="1:12" hidden="1" x14ac:dyDescent="0.3">
      <c r="A988" s="3">
        <v>44860</v>
      </c>
      <c r="B988" s="3">
        <v>44980</v>
      </c>
      <c r="C988" s="4">
        <f t="shared" si="30"/>
        <v>-70</v>
      </c>
      <c r="D988" s="5" t="s">
        <v>1231</v>
      </c>
      <c r="E988" s="5">
        <v>20100154308</v>
      </c>
      <c r="F988" s="5" t="s">
        <v>1217</v>
      </c>
      <c r="G988" s="5" t="s">
        <v>16</v>
      </c>
      <c r="H988" s="5" t="s">
        <v>29</v>
      </c>
      <c r="I988" s="31">
        <v>0</v>
      </c>
      <c r="J988" s="31">
        <v>14471.52</v>
      </c>
      <c r="K988" s="6" t="str">
        <f t="shared" si="31"/>
        <v>1-POR VENCER</v>
      </c>
      <c r="L988" s="7" t="str">
        <f>_xlfn.CONCAT(TEXT(MONTH(DATA[[#This Row],[FECHA DE VENCIMIENTO]]),"00"),"-",TEXT(DATA[[#This Row],[FECHA DE VENCIMIENTO]],"MMM"))</f>
        <v>02-Feb</v>
      </c>
    </row>
    <row r="989" spans="1:12" hidden="1" x14ac:dyDescent="0.3">
      <c r="A989" s="3">
        <v>44867</v>
      </c>
      <c r="B989" s="3">
        <v>44987</v>
      </c>
      <c r="C989" s="4">
        <f t="shared" si="30"/>
        <v>-77</v>
      </c>
      <c r="D989" s="5" t="s">
        <v>1241</v>
      </c>
      <c r="E989" s="5">
        <v>20100154308</v>
      </c>
      <c r="F989" s="5" t="s">
        <v>1217</v>
      </c>
      <c r="G989" s="5" t="s">
        <v>16</v>
      </c>
      <c r="H989" s="5" t="s">
        <v>29</v>
      </c>
      <c r="I989" s="31">
        <v>0</v>
      </c>
      <c r="J989" s="31">
        <v>2725.8</v>
      </c>
      <c r="K989" s="6" t="str">
        <f t="shared" si="31"/>
        <v>1-POR VENCER</v>
      </c>
      <c r="L989" s="7" t="str">
        <f>_xlfn.CONCAT(TEXT(MONTH(DATA[[#This Row],[FECHA DE VENCIMIENTO]]),"00"),"-",TEXT(DATA[[#This Row],[FECHA DE VENCIMIENTO]],"MMM"))</f>
        <v>03-Mar</v>
      </c>
    </row>
    <row r="990" spans="1:12" hidden="1" x14ac:dyDescent="0.3">
      <c r="A990" s="3">
        <v>44867</v>
      </c>
      <c r="B990" s="3">
        <v>44987</v>
      </c>
      <c r="C990" s="4">
        <f t="shared" si="30"/>
        <v>-77</v>
      </c>
      <c r="D990" s="5" t="s">
        <v>1242</v>
      </c>
      <c r="E990" s="5">
        <v>20100154308</v>
      </c>
      <c r="F990" s="5" t="s">
        <v>1217</v>
      </c>
      <c r="G990" s="5" t="s">
        <v>16</v>
      </c>
      <c r="H990" s="5" t="s">
        <v>7</v>
      </c>
      <c r="I990" s="31">
        <v>11654.27</v>
      </c>
      <c r="J990" s="31">
        <v>0</v>
      </c>
      <c r="K990" s="6" t="str">
        <f t="shared" si="31"/>
        <v>1-POR VENCER</v>
      </c>
      <c r="L990" s="7" t="str">
        <f>_xlfn.CONCAT(TEXT(MONTH(DATA[[#This Row],[FECHA DE VENCIMIENTO]]),"00"),"-",TEXT(DATA[[#This Row],[FECHA DE VENCIMIENTO]],"MMM"))</f>
        <v>03-Mar</v>
      </c>
    </row>
    <row r="991" spans="1:12" hidden="1" x14ac:dyDescent="0.3">
      <c r="A991" s="3">
        <v>44873</v>
      </c>
      <c r="B991" s="3">
        <v>44993</v>
      </c>
      <c r="C991" s="4">
        <f t="shared" si="30"/>
        <v>-83</v>
      </c>
      <c r="D991" s="5" t="s">
        <v>1249</v>
      </c>
      <c r="E991" s="5">
        <v>20100154308</v>
      </c>
      <c r="F991" s="5" t="s">
        <v>1217</v>
      </c>
      <c r="G991" s="5" t="s">
        <v>16</v>
      </c>
      <c r="H991" s="5" t="s">
        <v>29</v>
      </c>
      <c r="I991" s="31">
        <v>0</v>
      </c>
      <c r="J991" s="31">
        <v>6796.8</v>
      </c>
      <c r="K991" s="6" t="str">
        <f t="shared" si="31"/>
        <v>1-POR VENCER</v>
      </c>
      <c r="L991" s="7" t="str">
        <f>_xlfn.CONCAT(TEXT(MONTH(DATA[[#This Row],[FECHA DE VENCIMIENTO]]),"00"),"-",TEXT(DATA[[#This Row],[FECHA DE VENCIMIENTO]],"MMM"))</f>
        <v>03-Mar</v>
      </c>
    </row>
    <row r="992" spans="1:12" hidden="1" x14ac:dyDescent="0.3">
      <c r="A992" s="3">
        <v>44875</v>
      </c>
      <c r="B992" s="3">
        <v>44995</v>
      </c>
      <c r="C992" s="4">
        <f t="shared" si="30"/>
        <v>-85</v>
      </c>
      <c r="D992" s="5" t="s">
        <v>1226</v>
      </c>
      <c r="E992" s="5">
        <v>20100154308</v>
      </c>
      <c r="F992" s="5" t="s">
        <v>1217</v>
      </c>
      <c r="G992" s="5" t="s">
        <v>16</v>
      </c>
      <c r="H992" s="5" t="s">
        <v>7</v>
      </c>
      <c r="I992" s="31">
        <v>4932.3999999999996</v>
      </c>
      <c r="J992" s="31">
        <v>0</v>
      </c>
      <c r="K992" s="6" t="str">
        <f t="shared" si="31"/>
        <v>1-POR VENCER</v>
      </c>
      <c r="L992" s="7" t="str">
        <f>_xlfn.CONCAT(TEXT(MONTH(DATA[[#This Row],[FECHA DE VENCIMIENTO]]),"00"),"-",TEXT(DATA[[#This Row],[FECHA DE VENCIMIENTO]],"MMM"))</f>
        <v>03-Mar</v>
      </c>
    </row>
    <row r="993" spans="1:12" hidden="1" x14ac:dyDescent="0.3">
      <c r="A993" s="3">
        <v>44879</v>
      </c>
      <c r="B993" s="3">
        <v>44999</v>
      </c>
      <c r="C993" s="4">
        <f t="shared" si="30"/>
        <v>-89</v>
      </c>
      <c r="D993" s="5" t="s">
        <v>1248</v>
      </c>
      <c r="E993" s="5">
        <v>20100154308</v>
      </c>
      <c r="F993" s="5" t="s">
        <v>1217</v>
      </c>
      <c r="G993" s="5" t="s">
        <v>16</v>
      </c>
      <c r="H993" s="5" t="s">
        <v>29</v>
      </c>
      <c r="I993" s="31">
        <v>0</v>
      </c>
      <c r="J993" s="31">
        <v>15892.71</v>
      </c>
      <c r="K993" s="6" t="str">
        <f t="shared" si="31"/>
        <v>1-POR VENCER</v>
      </c>
      <c r="L993" s="7" t="str">
        <f>_xlfn.CONCAT(TEXT(MONTH(DATA[[#This Row],[FECHA DE VENCIMIENTO]]),"00"),"-",TEXT(DATA[[#This Row],[FECHA DE VENCIMIENTO]],"MMM"))</f>
        <v>03-Mar</v>
      </c>
    </row>
    <row r="994" spans="1:12" hidden="1" x14ac:dyDescent="0.3">
      <c r="A994" s="3">
        <v>44884</v>
      </c>
      <c r="B994" s="3">
        <v>45004</v>
      </c>
      <c r="C994" s="4">
        <f t="shared" si="30"/>
        <v>-94</v>
      </c>
      <c r="D994" s="5" t="s">
        <v>1243</v>
      </c>
      <c r="E994" s="5">
        <v>20100154308</v>
      </c>
      <c r="F994" s="5" t="s">
        <v>1217</v>
      </c>
      <c r="G994" s="5" t="s">
        <v>16</v>
      </c>
      <c r="H994" s="5" t="s">
        <v>29</v>
      </c>
      <c r="I994" s="31">
        <v>0</v>
      </c>
      <c r="J994" s="31">
        <v>30321.279999999999</v>
      </c>
      <c r="K994" s="6" t="str">
        <f t="shared" si="31"/>
        <v>1-POR VENCER</v>
      </c>
      <c r="L994" s="7" t="str">
        <f>_xlfn.CONCAT(TEXT(MONTH(DATA[[#This Row],[FECHA DE VENCIMIENTO]]),"00"),"-",TEXT(DATA[[#This Row],[FECHA DE VENCIMIENTO]],"MMM"))</f>
        <v>03-Mar</v>
      </c>
    </row>
    <row r="995" spans="1:12" hidden="1" x14ac:dyDescent="0.3">
      <c r="A995" s="3">
        <v>44890</v>
      </c>
      <c r="B995" s="3">
        <v>45010</v>
      </c>
      <c r="C995" s="4">
        <f t="shared" si="30"/>
        <v>-100</v>
      </c>
      <c r="D995" s="5" t="s">
        <v>1229</v>
      </c>
      <c r="E995" s="5">
        <v>20100154308</v>
      </c>
      <c r="F995" s="5" t="s">
        <v>1217</v>
      </c>
      <c r="G995" s="5" t="s">
        <v>16</v>
      </c>
      <c r="H995" s="5" t="s">
        <v>7</v>
      </c>
      <c r="I995" s="31">
        <v>19824</v>
      </c>
      <c r="J995" s="31">
        <v>0</v>
      </c>
      <c r="K995" s="6" t="str">
        <f t="shared" si="31"/>
        <v>1-POR VENCER</v>
      </c>
      <c r="L995" s="7" t="str">
        <f>_xlfn.CONCAT(TEXT(MONTH(DATA[[#This Row],[FECHA DE VENCIMIENTO]]),"00"),"-",TEXT(DATA[[#This Row],[FECHA DE VENCIMIENTO]],"MMM"))</f>
        <v>03-Mar</v>
      </c>
    </row>
    <row r="996" spans="1:12" hidden="1" x14ac:dyDescent="0.3">
      <c r="A996" s="3">
        <v>44894</v>
      </c>
      <c r="B996" s="3">
        <v>45014</v>
      </c>
      <c r="C996" s="4">
        <f t="shared" si="30"/>
        <v>-104</v>
      </c>
      <c r="D996" s="5" t="s">
        <v>1244</v>
      </c>
      <c r="E996" s="5">
        <v>20100154308</v>
      </c>
      <c r="F996" s="5" t="s">
        <v>1217</v>
      </c>
      <c r="G996" s="5" t="s">
        <v>16</v>
      </c>
      <c r="H996" s="5" t="s">
        <v>29</v>
      </c>
      <c r="I996" s="31">
        <v>0</v>
      </c>
      <c r="J996" s="31">
        <v>31785.42</v>
      </c>
      <c r="K996" s="6" t="str">
        <f t="shared" si="31"/>
        <v>1-POR VENCER</v>
      </c>
      <c r="L996" s="7" t="str">
        <f>_xlfn.CONCAT(TEXT(MONTH(DATA[[#This Row],[FECHA DE VENCIMIENTO]]),"00"),"-",TEXT(DATA[[#This Row],[FECHA DE VENCIMIENTO]],"MMM"))</f>
        <v>03-Mar</v>
      </c>
    </row>
    <row r="997" spans="1:12" hidden="1" x14ac:dyDescent="0.3">
      <c r="A997" s="3">
        <v>44900</v>
      </c>
      <c r="B997" s="3">
        <v>45020</v>
      </c>
      <c r="C997" s="4">
        <f t="shared" si="30"/>
        <v>-110</v>
      </c>
      <c r="D997" s="5" t="s">
        <v>1223</v>
      </c>
      <c r="E997" s="5">
        <v>20100154308</v>
      </c>
      <c r="F997" s="5" t="s">
        <v>1217</v>
      </c>
      <c r="G997" s="5" t="s">
        <v>16</v>
      </c>
      <c r="H997" s="5" t="s">
        <v>29</v>
      </c>
      <c r="I997" s="31">
        <v>0</v>
      </c>
      <c r="J997" s="31">
        <v>32302.5</v>
      </c>
      <c r="K997" s="6" t="str">
        <f t="shared" si="31"/>
        <v>1-POR VENCER</v>
      </c>
      <c r="L997" s="7" t="str">
        <f>_xlfn.CONCAT(TEXT(MONTH(DATA[[#This Row],[FECHA DE VENCIMIENTO]]),"00"),"-",TEXT(DATA[[#This Row],[FECHA DE VENCIMIENTO]],"MMM"))</f>
        <v>04-Abr</v>
      </c>
    </row>
    <row r="998" spans="1:12" hidden="1" x14ac:dyDescent="0.3">
      <c r="A998" s="3">
        <v>44900</v>
      </c>
      <c r="B998" s="3">
        <v>45020</v>
      </c>
      <c r="C998" s="4">
        <f t="shared" si="30"/>
        <v>-110</v>
      </c>
      <c r="D998" s="5" t="s">
        <v>1233</v>
      </c>
      <c r="E998" s="5">
        <v>20100154308</v>
      </c>
      <c r="F998" s="5" t="s">
        <v>1217</v>
      </c>
      <c r="G998" s="5" t="s">
        <v>16</v>
      </c>
      <c r="H998" s="5" t="s">
        <v>7</v>
      </c>
      <c r="I998" s="31">
        <v>9864.7999999999993</v>
      </c>
      <c r="J998" s="31">
        <v>0</v>
      </c>
      <c r="K998" s="6" t="str">
        <f t="shared" si="31"/>
        <v>1-POR VENCER</v>
      </c>
      <c r="L998" s="7" t="str">
        <f>_xlfn.CONCAT(TEXT(MONTH(DATA[[#This Row],[FECHA DE VENCIMIENTO]]),"00"),"-",TEXT(DATA[[#This Row],[FECHA DE VENCIMIENTO]],"MMM"))</f>
        <v>04-Abr</v>
      </c>
    </row>
    <row r="999" spans="1:12" hidden="1" x14ac:dyDescent="0.3">
      <c r="A999" s="3">
        <v>44902</v>
      </c>
      <c r="B999" s="3">
        <v>45022</v>
      </c>
      <c r="C999" s="4">
        <f t="shared" si="30"/>
        <v>-112</v>
      </c>
      <c r="D999" s="5" t="s">
        <v>1239</v>
      </c>
      <c r="E999" s="5">
        <v>20100154308</v>
      </c>
      <c r="F999" s="5" t="s">
        <v>1217</v>
      </c>
      <c r="G999" s="5" t="s">
        <v>16</v>
      </c>
      <c r="H999" s="5" t="s">
        <v>7</v>
      </c>
      <c r="I999" s="31">
        <v>4932.3999999999996</v>
      </c>
      <c r="J999" s="31">
        <v>0</v>
      </c>
      <c r="K999" s="6" t="str">
        <f t="shared" si="31"/>
        <v>1-POR VENCER</v>
      </c>
      <c r="L999" s="7" t="str">
        <f>_xlfn.CONCAT(TEXT(MONTH(DATA[[#This Row],[FECHA DE VENCIMIENTO]]),"00"),"-",TEXT(DATA[[#This Row],[FECHA DE VENCIMIENTO]],"MMM"))</f>
        <v>04-Abr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QUITAR_FILTRO">
                <anchor moveWithCells="1" sizeWithCells="1">
                  <from>
                    <xdr:col>9</xdr:col>
                    <xdr:colOff>769620</xdr:colOff>
                    <xdr:row>0</xdr:row>
                    <xdr:rowOff>152400</xdr:rowOff>
                  </from>
                  <to>
                    <xdr:col>11</xdr:col>
                    <xdr:colOff>1188720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IR_DASHBOARD">
                <anchor moveWithCells="1" sizeWithCells="1">
                  <from>
                    <xdr:col>6</xdr:col>
                    <xdr:colOff>83820</xdr:colOff>
                    <xdr:row>0</xdr:row>
                    <xdr:rowOff>160020</xdr:rowOff>
                  </from>
                  <to>
                    <xdr:col>9</xdr:col>
                    <xdr:colOff>541020</xdr:colOff>
                    <xdr:row>1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E1683-CF73-724D-9EC4-FD790931EC96}">
  <sheetPr codeName="Hoja2"/>
  <dimension ref="A5:Q98"/>
  <sheetViews>
    <sheetView topLeftCell="C4" zoomScale="108" workbookViewId="0">
      <selection activeCell="I47" sqref="I47"/>
    </sheetView>
  </sheetViews>
  <sheetFormatPr baseColWidth="10" defaultRowHeight="15.6" x14ac:dyDescent="0.3"/>
  <cols>
    <col min="1" max="1" width="24.3984375" customWidth="1"/>
    <col min="2" max="2" width="24.8984375" customWidth="1"/>
    <col min="5" max="5" width="24.8984375" customWidth="1"/>
    <col min="6" max="6" width="25.5" customWidth="1"/>
    <col min="7" max="7" width="11" bestFit="1" customWidth="1"/>
    <col min="11" max="11" width="16.5" bestFit="1" customWidth="1"/>
    <col min="12" max="12" width="11" bestFit="1" customWidth="1"/>
    <col min="13" max="13" width="18.59765625" customWidth="1"/>
    <col min="14" max="14" width="18.5" customWidth="1"/>
    <col min="15" max="15" width="16.5" bestFit="1" customWidth="1"/>
    <col min="16" max="16" width="11" bestFit="1" customWidth="1"/>
    <col min="17" max="17" width="18.59765625" customWidth="1"/>
  </cols>
  <sheetData>
    <row r="5" spans="1:16" x14ac:dyDescent="0.3">
      <c r="A5" s="9" t="s">
        <v>392</v>
      </c>
      <c r="B5" t="s">
        <v>394</v>
      </c>
      <c r="E5" s="9" t="s">
        <v>392</v>
      </c>
      <c r="F5" t="s">
        <v>403</v>
      </c>
      <c r="K5" s="9" t="s">
        <v>392</v>
      </c>
      <c r="L5" t="s">
        <v>394</v>
      </c>
      <c r="O5" s="9" t="s">
        <v>392</v>
      </c>
      <c r="P5" t="s">
        <v>403</v>
      </c>
    </row>
    <row r="6" spans="1:16" x14ac:dyDescent="0.3">
      <c r="A6" s="10" t="s">
        <v>397</v>
      </c>
      <c r="B6" s="35">
        <v>263116.99999999994</v>
      </c>
      <c r="E6" s="10" t="s">
        <v>397</v>
      </c>
      <c r="F6" s="35">
        <v>103284.23</v>
      </c>
      <c r="K6" s="10" t="s">
        <v>404</v>
      </c>
      <c r="L6" s="35">
        <v>1017130.2500000001</v>
      </c>
      <c r="O6" s="10" t="s">
        <v>404</v>
      </c>
      <c r="P6" s="35">
        <v>205623.06999999998</v>
      </c>
    </row>
    <row r="7" spans="1:16" x14ac:dyDescent="0.3">
      <c r="A7" s="10" t="s">
        <v>398</v>
      </c>
      <c r="B7" s="35">
        <v>92012.2</v>
      </c>
      <c r="E7" s="10" t="s">
        <v>398</v>
      </c>
      <c r="F7" s="35">
        <v>155523.47</v>
      </c>
      <c r="K7" s="10" t="s">
        <v>405</v>
      </c>
      <c r="L7" s="35">
        <v>412236.36000000004</v>
      </c>
      <c r="O7" s="10" t="s">
        <v>405</v>
      </c>
      <c r="P7" s="35">
        <v>69361.47</v>
      </c>
    </row>
    <row r="8" spans="1:16" x14ac:dyDescent="0.3">
      <c r="A8" s="10" t="s">
        <v>399</v>
      </c>
      <c r="B8" s="35">
        <v>91626.63999999997</v>
      </c>
      <c r="E8" s="10" t="s">
        <v>399</v>
      </c>
      <c r="F8" s="35">
        <v>42501.94</v>
      </c>
      <c r="K8" s="10" t="s">
        <v>406</v>
      </c>
      <c r="L8" s="35">
        <v>83076.350000000006</v>
      </c>
      <c r="O8" s="10" t="s">
        <v>406</v>
      </c>
      <c r="P8" s="35">
        <v>103651.36</v>
      </c>
    </row>
    <row r="9" spans="1:16" x14ac:dyDescent="0.3">
      <c r="A9" s="10" t="s">
        <v>396</v>
      </c>
      <c r="B9" s="35">
        <v>451620.10999999993</v>
      </c>
      <c r="E9" s="10" t="s">
        <v>396</v>
      </c>
      <c r="F9" s="35">
        <v>126199.15</v>
      </c>
      <c r="K9" s="10" t="s">
        <v>407</v>
      </c>
      <c r="L9" s="35">
        <v>62132.27</v>
      </c>
      <c r="O9" s="10" t="s">
        <v>407</v>
      </c>
      <c r="P9" s="35">
        <v>43570.78</v>
      </c>
    </row>
    <row r="10" spans="1:16" x14ac:dyDescent="0.3">
      <c r="A10" s="10" t="s">
        <v>1285</v>
      </c>
      <c r="B10" s="35">
        <v>90329.569999999992</v>
      </c>
      <c r="E10" s="10" t="s">
        <v>1285</v>
      </c>
      <c r="F10" s="35">
        <v>69200.23000000001</v>
      </c>
      <c r="K10" s="10" t="s">
        <v>408</v>
      </c>
      <c r="L10" s="35">
        <v>42539.569999999992</v>
      </c>
      <c r="O10" s="10" t="s">
        <v>408</v>
      </c>
      <c r="P10" s="35">
        <v>14245.950000000003</v>
      </c>
    </row>
    <row r="11" spans="1:16" x14ac:dyDescent="0.3">
      <c r="A11" s="10" t="s">
        <v>1286</v>
      </c>
      <c r="B11" s="35">
        <v>2637456.7800000003</v>
      </c>
      <c r="E11" s="10" t="s">
        <v>1286</v>
      </c>
      <c r="F11" s="35">
        <v>593228.9</v>
      </c>
      <c r="K11" s="10" t="s">
        <v>409</v>
      </c>
      <c r="L11" s="35">
        <v>54199.969999999994</v>
      </c>
      <c r="O11" s="10" t="s">
        <v>409</v>
      </c>
      <c r="P11" s="35">
        <v>8430.9699999999993</v>
      </c>
    </row>
    <row r="12" spans="1:16" x14ac:dyDescent="0.3">
      <c r="A12" s="10" t="s">
        <v>393</v>
      </c>
      <c r="B12" s="35">
        <v>3626162.3</v>
      </c>
      <c r="E12" s="10" t="s">
        <v>393</v>
      </c>
      <c r="F12" s="35">
        <v>1089937.9199999999</v>
      </c>
      <c r="K12" s="10" t="s">
        <v>410</v>
      </c>
      <c r="L12" s="35">
        <v>83144.26999999999</v>
      </c>
      <c r="O12" s="10" t="s">
        <v>410</v>
      </c>
      <c r="P12" s="35">
        <v>6730.8</v>
      </c>
    </row>
    <row r="13" spans="1:16" x14ac:dyDescent="0.3">
      <c r="A13" s="32" t="s">
        <v>400</v>
      </c>
      <c r="B13" s="32"/>
      <c r="E13" s="32" t="s">
        <v>400</v>
      </c>
      <c r="F13" s="32"/>
      <c r="K13" s="10" t="s">
        <v>411</v>
      </c>
      <c r="L13" s="35">
        <v>75198.66</v>
      </c>
      <c r="O13" s="10" t="s">
        <v>411</v>
      </c>
      <c r="P13" s="35">
        <v>23236.109999999997</v>
      </c>
    </row>
    <row r="14" spans="1:16" x14ac:dyDescent="0.3">
      <c r="A14" s="11" t="s">
        <v>401</v>
      </c>
      <c r="B14" s="12" t="s">
        <v>402</v>
      </c>
      <c r="E14" s="11" t="s">
        <v>401</v>
      </c>
      <c r="F14" s="12" t="s">
        <v>402</v>
      </c>
      <c r="K14" s="10" t="s">
        <v>412</v>
      </c>
      <c r="L14" s="35">
        <v>100458.11</v>
      </c>
      <c r="O14" s="10" t="s">
        <v>412</v>
      </c>
      <c r="P14" s="35">
        <v>55979.94000000001</v>
      </c>
    </row>
    <row r="15" spans="1:16" x14ac:dyDescent="0.3">
      <c r="A15" s="12" t="str">
        <f>A6</f>
        <v>30 &lt;= 60 DIAS</v>
      </c>
      <c r="B15" s="13">
        <f>B6</f>
        <v>263116.99999999994</v>
      </c>
      <c r="E15" s="12" t="str">
        <f>E6</f>
        <v>30 &lt;= 60 DIAS</v>
      </c>
      <c r="F15" s="14">
        <f>F6</f>
        <v>103284.23</v>
      </c>
      <c r="K15" s="10" t="s">
        <v>413</v>
      </c>
      <c r="L15" s="35">
        <v>138991.28999999998</v>
      </c>
      <c r="O15" s="10" t="s">
        <v>413</v>
      </c>
      <c r="P15" s="35">
        <v>208445.13999999996</v>
      </c>
    </row>
    <row r="16" spans="1:16" x14ac:dyDescent="0.3">
      <c r="A16" s="12" t="str">
        <f t="shared" ref="A16:B19" si="0">A7</f>
        <v>60 &lt;= 90 DIAS</v>
      </c>
      <c r="B16" s="13">
        <f t="shared" si="0"/>
        <v>92012.2</v>
      </c>
      <c r="E16" s="12" t="str">
        <f t="shared" ref="E16:F19" si="1">E7</f>
        <v>60 &lt;= 90 DIAS</v>
      </c>
      <c r="F16" s="14">
        <f t="shared" si="1"/>
        <v>155523.47</v>
      </c>
      <c r="K16" s="10" t="s">
        <v>414</v>
      </c>
      <c r="L16" s="35">
        <v>332827.81000000011</v>
      </c>
      <c r="O16" s="10" t="s">
        <v>414</v>
      </c>
      <c r="P16" s="35">
        <v>127415.17999999998</v>
      </c>
    </row>
    <row r="17" spans="1:17" x14ac:dyDescent="0.3">
      <c r="A17" s="12" t="str">
        <f t="shared" si="0"/>
        <v>90 &lt;= 180 DIAS</v>
      </c>
      <c r="B17" s="13">
        <f t="shared" si="0"/>
        <v>91626.63999999997</v>
      </c>
      <c r="E17" s="12" t="str">
        <f t="shared" si="1"/>
        <v>90 &lt;= 180 DIAS</v>
      </c>
      <c r="F17" s="14">
        <f t="shared" si="1"/>
        <v>42501.94</v>
      </c>
      <c r="K17" s="10" t="s">
        <v>415</v>
      </c>
      <c r="L17" s="35">
        <v>1224227.3899999997</v>
      </c>
      <c r="O17" s="10" t="s">
        <v>415</v>
      </c>
      <c r="P17" s="35">
        <v>223247.14999999994</v>
      </c>
    </row>
    <row r="18" spans="1:17" x14ac:dyDescent="0.3">
      <c r="A18" s="12" t="str">
        <f t="shared" si="0"/>
        <v>180 &lt;= 360 DIAS</v>
      </c>
      <c r="B18" s="13">
        <f t="shared" si="0"/>
        <v>451620.10999999993</v>
      </c>
      <c r="E18" s="12" t="str">
        <f t="shared" si="1"/>
        <v>180 &lt;= 360 DIAS</v>
      </c>
      <c r="F18" s="14">
        <f t="shared" si="1"/>
        <v>126199.15</v>
      </c>
      <c r="K18" s="10" t="s">
        <v>393</v>
      </c>
      <c r="L18" s="35">
        <v>3626162.3000000003</v>
      </c>
      <c r="O18" s="10" t="s">
        <v>393</v>
      </c>
      <c r="P18" s="35">
        <v>1089937.9199999997</v>
      </c>
    </row>
    <row r="19" spans="1:17" x14ac:dyDescent="0.3">
      <c r="A19" s="12" t="str">
        <f t="shared" si="0"/>
        <v>15 &lt;= 30 DIAS</v>
      </c>
      <c r="B19" s="13">
        <f t="shared" si="0"/>
        <v>90329.569999999992</v>
      </c>
      <c r="E19" s="12" t="str">
        <f t="shared" si="1"/>
        <v>15 &lt;= 30 DIAS</v>
      </c>
      <c r="F19" s="14">
        <f t="shared" si="1"/>
        <v>69200.23000000001</v>
      </c>
    </row>
    <row r="22" spans="1:17" x14ac:dyDescent="0.3">
      <c r="K22" s="33" t="s">
        <v>416</v>
      </c>
      <c r="L22" s="33"/>
      <c r="O22" s="12" t="s">
        <v>417</v>
      </c>
      <c r="P22" s="12" t="s">
        <v>426</v>
      </c>
      <c r="Q22" s="12" t="s">
        <v>425</v>
      </c>
    </row>
    <row r="23" spans="1:17" x14ac:dyDescent="0.3">
      <c r="K23" s="15" t="s">
        <v>392</v>
      </c>
      <c r="L23" s="12" t="s">
        <v>426</v>
      </c>
      <c r="M23" s="12" t="s">
        <v>425</v>
      </c>
      <c r="O23" s="11" t="s">
        <v>404</v>
      </c>
      <c r="P23" s="17">
        <f>SUM($P$6:P6)</f>
        <v>205623.06999999998</v>
      </c>
      <c r="Q23" s="17">
        <f>VLOOKUP(O23,O48:P59,2)</f>
        <v>205623.06999999998</v>
      </c>
    </row>
    <row r="24" spans="1:17" x14ac:dyDescent="0.3">
      <c r="K24" s="11" t="s">
        <v>404</v>
      </c>
      <c r="L24" s="13">
        <f>SUM($L$6:L6)</f>
        <v>1017130.2500000001</v>
      </c>
      <c r="M24" s="21">
        <f>VLOOKUP(K24,$K$48:$L$59,2)</f>
        <v>1017130.2500000001</v>
      </c>
      <c r="O24" s="11" t="s">
        <v>405</v>
      </c>
      <c r="P24" s="17">
        <f>SUM($P$6:P7)</f>
        <v>274984.53999999998</v>
      </c>
      <c r="Q24" s="17">
        <f t="shared" ref="Q24:Q35" si="2">VLOOKUP(O24,O49:P60,2)</f>
        <v>69361.47</v>
      </c>
    </row>
    <row r="25" spans="1:17" x14ac:dyDescent="0.3">
      <c r="K25" s="11" t="s">
        <v>405</v>
      </c>
      <c r="L25" s="13">
        <f>SUM($L$6:L7)</f>
        <v>1429366.61</v>
      </c>
      <c r="M25" s="21">
        <f t="shared" ref="M25:M35" si="3">VLOOKUP(K25,$K$48:$L$59,2)</f>
        <v>412236.36000000004</v>
      </c>
      <c r="O25" s="11" t="s">
        <v>406</v>
      </c>
      <c r="P25" s="17">
        <f>SUM($P$6:P8)</f>
        <v>378635.89999999997</v>
      </c>
      <c r="Q25" s="17">
        <f t="shared" si="2"/>
        <v>103651.36</v>
      </c>
    </row>
    <row r="26" spans="1:17" x14ac:dyDescent="0.3">
      <c r="A26" s="9" t="s">
        <v>392</v>
      </c>
      <c r="B26" t="s">
        <v>394</v>
      </c>
      <c r="E26" s="9" t="s">
        <v>392</v>
      </c>
      <c r="F26" t="s">
        <v>403</v>
      </c>
      <c r="K26" s="11" t="s">
        <v>406</v>
      </c>
      <c r="L26" s="13">
        <f>SUM($L$6:L8)</f>
        <v>1512442.9600000002</v>
      </c>
      <c r="M26" s="21">
        <f t="shared" si="3"/>
        <v>83076.350000000006</v>
      </c>
      <c r="O26" s="11" t="s">
        <v>407</v>
      </c>
      <c r="P26" s="17">
        <f>SUM($P$6:P9)</f>
        <v>422206.67999999993</v>
      </c>
      <c r="Q26" s="17">
        <f t="shared" si="2"/>
        <v>43570.78</v>
      </c>
    </row>
    <row r="27" spans="1:17" x14ac:dyDescent="0.3">
      <c r="A27" s="10" t="s">
        <v>397</v>
      </c>
      <c r="B27" s="18">
        <v>7.2560734526416523E-2</v>
      </c>
      <c r="E27" s="10" t="s">
        <v>397</v>
      </c>
      <c r="F27" s="18">
        <v>9.4761571374633896E-2</v>
      </c>
      <c r="K27" s="11" t="s">
        <v>407</v>
      </c>
      <c r="L27" s="13">
        <f>SUM($L$6:L9)</f>
        <v>1574575.2300000002</v>
      </c>
      <c r="M27" s="21">
        <f t="shared" si="3"/>
        <v>62132.27</v>
      </c>
      <c r="O27" s="11" t="s">
        <v>408</v>
      </c>
      <c r="P27" s="17">
        <f>SUM($P$6:P10)</f>
        <v>436452.62999999995</v>
      </c>
      <c r="Q27" s="17">
        <f t="shared" si="2"/>
        <v>14245.950000000003</v>
      </c>
    </row>
    <row r="28" spans="1:17" x14ac:dyDescent="0.3">
      <c r="A28" s="10" t="s">
        <v>398</v>
      </c>
      <c r="B28" s="18">
        <v>2.5374539909589818E-2</v>
      </c>
      <c r="E28" s="10" t="s">
        <v>398</v>
      </c>
      <c r="F28" s="18">
        <v>0.14269020936531873</v>
      </c>
      <c r="K28" s="11" t="s">
        <v>408</v>
      </c>
      <c r="L28" s="13">
        <f>SUM($L$6:L10)</f>
        <v>1617114.8000000003</v>
      </c>
      <c r="M28" s="21">
        <f t="shared" si="3"/>
        <v>42539.569999999992</v>
      </c>
      <c r="O28" s="11" t="s">
        <v>409</v>
      </c>
      <c r="P28" s="17">
        <f>SUM($P$6:P11)</f>
        <v>444883.59999999992</v>
      </c>
      <c r="Q28" s="17">
        <f t="shared" si="2"/>
        <v>8430.9699999999993</v>
      </c>
    </row>
    <row r="29" spans="1:17" x14ac:dyDescent="0.3">
      <c r="A29" s="10" t="s">
        <v>399</v>
      </c>
      <c r="B29" s="18">
        <v>2.5268212622474171E-2</v>
      </c>
      <c r="E29" s="10" t="s">
        <v>399</v>
      </c>
      <c r="F29" s="18">
        <v>3.8994826420939648E-2</v>
      </c>
      <c r="K29" s="11" t="s">
        <v>409</v>
      </c>
      <c r="L29" s="13">
        <f>SUM($L$6:L11)</f>
        <v>1671314.7700000003</v>
      </c>
      <c r="M29" s="21">
        <f t="shared" si="3"/>
        <v>54199.969999999994</v>
      </c>
      <c r="O29" s="11" t="s">
        <v>410</v>
      </c>
      <c r="P29" s="17">
        <f>SUM($P$6:P12)</f>
        <v>451614.39999999991</v>
      </c>
      <c r="Q29" s="17">
        <f t="shared" si="2"/>
        <v>6730.8</v>
      </c>
    </row>
    <row r="30" spans="1:17" x14ac:dyDescent="0.3">
      <c r="A30" s="10" t="s">
        <v>396</v>
      </c>
      <c r="B30" s="18">
        <v>0.12454492453357643</v>
      </c>
      <c r="E30" s="10" t="s">
        <v>396</v>
      </c>
      <c r="F30" s="18">
        <v>0.11578563116695674</v>
      </c>
      <c r="K30" s="11" t="s">
        <v>410</v>
      </c>
      <c r="L30" s="13">
        <f>SUM($L$6:L12)</f>
        <v>1754459.0400000003</v>
      </c>
      <c r="M30" s="21">
        <f t="shared" si="3"/>
        <v>83144.26999999999</v>
      </c>
      <c r="O30" s="11" t="s">
        <v>411</v>
      </c>
      <c r="P30" s="17">
        <f>SUM($P$6:P13)</f>
        <v>474850.50999999989</v>
      </c>
      <c r="Q30" s="17">
        <f t="shared" si="2"/>
        <v>23236.109999999997</v>
      </c>
    </row>
    <row r="31" spans="1:17" x14ac:dyDescent="0.3">
      <c r="A31" s="10" t="s">
        <v>1285</v>
      </c>
      <c r="B31" s="18">
        <v>2.4910514898905656E-2</v>
      </c>
      <c r="E31" s="10" t="s">
        <v>1285</v>
      </c>
      <c r="F31" s="18">
        <v>6.3490065562633161E-2</v>
      </c>
      <c r="K31" s="11" t="s">
        <v>411</v>
      </c>
      <c r="L31" s="13">
        <f>SUM($L$6:L13)</f>
        <v>1829657.7000000002</v>
      </c>
      <c r="M31" s="21">
        <f t="shared" si="3"/>
        <v>75198.66</v>
      </c>
      <c r="O31" s="11" t="s">
        <v>412</v>
      </c>
      <c r="P31" s="17">
        <f>SUM($P$6:P14)</f>
        <v>530830.44999999995</v>
      </c>
      <c r="Q31" s="17">
        <f t="shared" si="2"/>
        <v>55979.94000000001</v>
      </c>
    </row>
    <row r="32" spans="1:17" x14ac:dyDescent="0.3">
      <c r="A32" s="10" t="s">
        <v>1286</v>
      </c>
      <c r="B32" s="18">
        <v>0.72734107350903743</v>
      </c>
      <c r="E32" s="10" t="s">
        <v>1286</v>
      </c>
      <c r="F32" s="18">
        <v>0.54427769610951793</v>
      </c>
      <c r="K32" s="11" t="s">
        <v>412</v>
      </c>
      <c r="L32" s="13">
        <f>SUM($L$6:L14)</f>
        <v>1930115.8100000003</v>
      </c>
      <c r="M32" s="21">
        <f t="shared" si="3"/>
        <v>100458.11</v>
      </c>
      <c r="O32" s="11" t="s">
        <v>413</v>
      </c>
      <c r="P32" s="17">
        <f>SUM($P$6:P15)</f>
        <v>739275.58999999985</v>
      </c>
      <c r="Q32" s="17">
        <f t="shared" si="2"/>
        <v>208445.13999999996</v>
      </c>
    </row>
    <row r="33" spans="1:17" x14ac:dyDescent="0.3">
      <c r="A33" s="10" t="s">
        <v>393</v>
      </c>
      <c r="B33" s="18">
        <v>1</v>
      </c>
      <c r="E33" s="10" t="s">
        <v>393</v>
      </c>
      <c r="F33" s="18">
        <v>1</v>
      </c>
      <c r="K33" s="11" t="s">
        <v>413</v>
      </c>
      <c r="L33" s="13">
        <f>SUM($L$6:L15)</f>
        <v>2069107.1000000003</v>
      </c>
      <c r="M33" s="21">
        <f t="shared" si="3"/>
        <v>138991.28999999998</v>
      </c>
      <c r="O33" s="11" t="s">
        <v>414</v>
      </c>
      <c r="P33" s="17">
        <f>SUM($P$6:P16)</f>
        <v>866690.76999999979</v>
      </c>
      <c r="Q33" s="17">
        <f t="shared" si="2"/>
        <v>127415.17999999998</v>
      </c>
    </row>
    <row r="34" spans="1:17" x14ac:dyDescent="0.3">
      <c r="K34" s="11" t="s">
        <v>414</v>
      </c>
      <c r="L34" s="13">
        <f>SUM($L$6:L16)</f>
        <v>2401934.9100000006</v>
      </c>
      <c r="M34" s="21">
        <f t="shared" si="3"/>
        <v>332827.81000000011</v>
      </c>
      <c r="O34" s="11" t="s">
        <v>415</v>
      </c>
      <c r="P34" s="17">
        <f>SUM($P$6:P17)</f>
        <v>1089937.9199999997</v>
      </c>
      <c r="Q34" s="17">
        <f t="shared" si="2"/>
        <v>223247.14999999994</v>
      </c>
    </row>
    <row r="35" spans="1:17" x14ac:dyDescent="0.3">
      <c r="A35" s="12" t="s">
        <v>392</v>
      </c>
      <c r="B35" s="19" t="s">
        <v>394</v>
      </c>
      <c r="C35" t="s">
        <v>419</v>
      </c>
      <c r="E35" s="12" t="s">
        <v>392</v>
      </c>
      <c r="F35" s="19" t="s">
        <v>403</v>
      </c>
      <c r="G35" t="s">
        <v>418</v>
      </c>
      <c r="K35" s="11" t="s">
        <v>415</v>
      </c>
      <c r="L35" s="13">
        <f>SUM($L$6:L17)</f>
        <v>3626162.3000000003</v>
      </c>
      <c r="M35" s="21">
        <f t="shared" si="3"/>
        <v>1224227.3899999997</v>
      </c>
      <c r="O35" s="16" t="s">
        <v>393</v>
      </c>
      <c r="P35" s="17">
        <f>GETPIVOTDATA("$$",$O$5)</f>
        <v>1089937.9199999997</v>
      </c>
      <c r="Q35" s="17">
        <f t="shared" si="2"/>
        <v>8430.9699999999993</v>
      </c>
    </row>
    <row r="36" spans="1:17" x14ac:dyDescent="0.3">
      <c r="A36" s="12" t="s">
        <v>397</v>
      </c>
      <c r="B36" s="24">
        <f>B27</f>
        <v>7.2560734526416523E-2</v>
      </c>
      <c r="C36" s="24">
        <f>1-B36</f>
        <v>0.92743926547358346</v>
      </c>
      <c r="E36" s="12" t="s">
        <v>397</v>
      </c>
      <c r="F36" s="24">
        <f>F27</f>
        <v>9.4761571374633896E-2</v>
      </c>
      <c r="G36" s="24">
        <f>1-F36</f>
        <v>0.90523842862536608</v>
      </c>
      <c r="K36" s="16" t="s">
        <v>393</v>
      </c>
      <c r="L36" s="23">
        <f>GETPIVOTDATA("S/",$K$5)</f>
        <v>3626162.3000000003</v>
      </c>
    </row>
    <row r="37" spans="1:17" x14ac:dyDescent="0.3">
      <c r="A37" s="12" t="s">
        <v>398</v>
      </c>
      <c r="B37" s="24">
        <f t="shared" ref="B37:B39" si="4">B28</f>
        <v>2.5374539909589818E-2</v>
      </c>
      <c r="C37" s="24">
        <f t="shared" ref="C37:C39" si="5">1-B37</f>
        <v>0.97462546009041018</v>
      </c>
      <c r="E37" s="12" t="s">
        <v>398</v>
      </c>
      <c r="F37" s="24">
        <f t="shared" ref="F37:F39" si="6">F28</f>
        <v>0.14269020936531873</v>
      </c>
      <c r="G37" s="24">
        <f t="shared" ref="G37:G39" si="7">1-F37</f>
        <v>0.85730979063468127</v>
      </c>
    </row>
    <row r="38" spans="1:17" x14ac:dyDescent="0.3">
      <c r="A38" s="12" t="s">
        <v>399</v>
      </c>
      <c r="B38" s="24">
        <f t="shared" si="4"/>
        <v>2.5268212622474171E-2</v>
      </c>
      <c r="C38" s="24">
        <f t="shared" si="5"/>
        <v>0.97473178737752586</v>
      </c>
      <c r="E38" s="12" t="s">
        <v>399</v>
      </c>
      <c r="F38" s="24">
        <f t="shared" si="6"/>
        <v>3.8994826420939648E-2</v>
      </c>
      <c r="G38" s="24">
        <f t="shared" si="7"/>
        <v>0.96100517357906035</v>
      </c>
    </row>
    <row r="39" spans="1:17" x14ac:dyDescent="0.3">
      <c r="A39" s="12" t="s">
        <v>396</v>
      </c>
      <c r="B39" s="24">
        <f t="shared" si="4"/>
        <v>0.12454492453357643</v>
      </c>
      <c r="C39" s="24">
        <f t="shared" si="5"/>
        <v>0.87545507546642354</v>
      </c>
      <c r="E39" s="12" t="s">
        <v>396</v>
      </c>
      <c r="F39" s="24">
        <f t="shared" si="6"/>
        <v>0.11578563116695674</v>
      </c>
      <c r="G39" s="24">
        <f t="shared" si="7"/>
        <v>0.88421436883304327</v>
      </c>
    </row>
    <row r="40" spans="1:17" x14ac:dyDescent="0.3">
      <c r="A40" s="12" t="s">
        <v>393</v>
      </c>
      <c r="B40" s="20"/>
      <c r="E40" s="12" t="s">
        <v>393</v>
      </c>
      <c r="F40" s="20"/>
    </row>
    <row r="45" spans="1:17" x14ac:dyDescent="0.3">
      <c r="K45" t="s">
        <v>420</v>
      </c>
      <c r="O45" t="s">
        <v>421</v>
      </c>
    </row>
    <row r="47" spans="1:17" x14ac:dyDescent="0.3">
      <c r="K47" s="9" t="s">
        <v>392</v>
      </c>
      <c r="L47" t="s">
        <v>394</v>
      </c>
      <c r="O47" s="9" t="s">
        <v>392</v>
      </c>
      <c r="P47" t="s">
        <v>403</v>
      </c>
    </row>
    <row r="48" spans="1:17" x14ac:dyDescent="0.3">
      <c r="K48" s="10" t="s">
        <v>404</v>
      </c>
      <c r="L48" s="35">
        <v>1017130.2500000001</v>
      </c>
      <c r="O48" s="10" t="s">
        <v>404</v>
      </c>
      <c r="P48" s="35">
        <v>205623.06999999998</v>
      </c>
    </row>
    <row r="49" spans="11:16" x14ac:dyDescent="0.3">
      <c r="K49" s="10" t="s">
        <v>405</v>
      </c>
      <c r="L49" s="35">
        <v>412236.36000000004</v>
      </c>
      <c r="O49" s="10" t="s">
        <v>405</v>
      </c>
      <c r="P49" s="35">
        <v>69361.47</v>
      </c>
    </row>
    <row r="50" spans="11:16" x14ac:dyDescent="0.3">
      <c r="K50" s="10" t="s">
        <v>406</v>
      </c>
      <c r="L50" s="35">
        <v>83076.350000000006</v>
      </c>
      <c r="O50" s="10" t="s">
        <v>406</v>
      </c>
      <c r="P50" s="35">
        <v>103651.36</v>
      </c>
    </row>
    <row r="51" spans="11:16" x14ac:dyDescent="0.3">
      <c r="K51" s="10" t="s">
        <v>407</v>
      </c>
      <c r="L51" s="35">
        <v>62132.27</v>
      </c>
      <c r="O51" s="10" t="s">
        <v>407</v>
      </c>
      <c r="P51" s="35">
        <v>43570.78</v>
      </c>
    </row>
    <row r="52" spans="11:16" x14ac:dyDescent="0.3">
      <c r="K52" s="10" t="s">
        <v>408</v>
      </c>
      <c r="L52" s="35">
        <v>42539.569999999992</v>
      </c>
      <c r="O52" s="10" t="s">
        <v>408</v>
      </c>
      <c r="P52" s="35">
        <v>14245.950000000003</v>
      </c>
    </row>
    <row r="53" spans="11:16" x14ac:dyDescent="0.3">
      <c r="K53" s="10" t="s">
        <v>409</v>
      </c>
      <c r="L53" s="35">
        <v>54199.969999999994</v>
      </c>
      <c r="O53" s="10" t="s">
        <v>409</v>
      </c>
      <c r="P53" s="35">
        <v>8430.9699999999993</v>
      </c>
    </row>
    <row r="54" spans="11:16" x14ac:dyDescent="0.3">
      <c r="K54" s="10" t="s">
        <v>410</v>
      </c>
      <c r="L54" s="35">
        <v>83144.26999999999</v>
      </c>
      <c r="O54" s="10" t="s">
        <v>410</v>
      </c>
      <c r="P54" s="35">
        <v>6730.8</v>
      </c>
    </row>
    <row r="55" spans="11:16" x14ac:dyDescent="0.3">
      <c r="K55" s="10" t="s">
        <v>411</v>
      </c>
      <c r="L55" s="35">
        <v>75198.66</v>
      </c>
      <c r="O55" s="10" t="s">
        <v>411</v>
      </c>
      <c r="P55" s="35">
        <v>23236.109999999997</v>
      </c>
    </row>
    <row r="56" spans="11:16" x14ac:dyDescent="0.3">
      <c r="K56" s="10" t="s">
        <v>412</v>
      </c>
      <c r="L56" s="35">
        <v>100458.11</v>
      </c>
      <c r="O56" s="10" t="s">
        <v>412</v>
      </c>
      <c r="P56" s="35">
        <v>55979.94000000001</v>
      </c>
    </row>
    <row r="57" spans="11:16" x14ac:dyDescent="0.3">
      <c r="K57" s="10" t="s">
        <v>413</v>
      </c>
      <c r="L57" s="35">
        <v>138991.28999999998</v>
      </c>
      <c r="O57" s="10" t="s">
        <v>413</v>
      </c>
      <c r="P57" s="35">
        <v>208445.13999999996</v>
      </c>
    </row>
    <row r="58" spans="11:16" x14ac:dyDescent="0.3">
      <c r="K58" s="10" t="s">
        <v>414</v>
      </c>
      <c r="L58" s="35">
        <v>332827.81000000011</v>
      </c>
      <c r="O58" s="10" t="s">
        <v>414</v>
      </c>
      <c r="P58" s="35">
        <v>127415.17999999998</v>
      </c>
    </row>
    <row r="59" spans="11:16" x14ac:dyDescent="0.3">
      <c r="K59" s="10" t="s">
        <v>415</v>
      </c>
      <c r="L59" s="35">
        <v>1224227.3899999997</v>
      </c>
      <c r="O59" s="10" t="s">
        <v>415</v>
      </c>
      <c r="P59" s="35">
        <v>223247.14999999994</v>
      </c>
    </row>
    <row r="60" spans="11:16" x14ac:dyDescent="0.3">
      <c r="K60" s="10" t="s">
        <v>393</v>
      </c>
      <c r="L60" s="35">
        <v>3626162.3000000003</v>
      </c>
      <c r="O60" s="10" t="s">
        <v>393</v>
      </c>
      <c r="P60" s="35">
        <v>1089937.9199999997</v>
      </c>
    </row>
    <row r="64" spans="11:16" x14ac:dyDescent="0.3">
      <c r="K64" s="12" t="s">
        <v>420</v>
      </c>
      <c r="L64" s="12"/>
      <c r="O64" s="12" t="s">
        <v>420</v>
      </c>
      <c r="P64" s="12"/>
    </row>
    <row r="65" spans="11:16" x14ac:dyDescent="0.3">
      <c r="K65" s="12" t="s">
        <v>392</v>
      </c>
      <c r="L65" s="12" t="s">
        <v>394</v>
      </c>
      <c r="O65" s="12" t="s">
        <v>392</v>
      </c>
      <c r="P65" s="12" t="s">
        <v>403</v>
      </c>
    </row>
    <row r="66" spans="11:16" x14ac:dyDescent="0.3">
      <c r="K66" s="12" t="s">
        <v>404</v>
      </c>
      <c r="L66" s="21">
        <f>VLOOKUP(K66,$K$48:$L$59,2)</f>
        <v>1017130.2500000001</v>
      </c>
      <c r="O66" s="12" t="s">
        <v>404</v>
      </c>
      <c r="P66" s="22">
        <f>VLOOKUP(O66,$O$48:$P$59,2)</f>
        <v>205623.06999999998</v>
      </c>
    </row>
    <row r="67" spans="11:16" x14ac:dyDescent="0.3">
      <c r="K67" s="12" t="s">
        <v>405</v>
      </c>
      <c r="L67" s="21">
        <f t="shared" ref="L67:L77" si="8">VLOOKUP(K67,$K$48:$L$59,2)</f>
        <v>412236.36000000004</v>
      </c>
      <c r="O67" s="12" t="s">
        <v>405</v>
      </c>
      <c r="P67" s="22">
        <f t="shared" ref="P67:P77" si="9">VLOOKUP(O67,$O$48:$P$59,2)</f>
        <v>69361.47</v>
      </c>
    </row>
    <row r="68" spans="11:16" x14ac:dyDescent="0.3">
      <c r="K68" s="12" t="s">
        <v>406</v>
      </c>
      <c r="L68" s="21">
        <f t="shared" si="8"/>
        <v>83076.350000000006</v>
      </c>
      <c r="O68" s="12" t="s">
        <v>406</v>
      </c>
      <c r="P68" s="22">
        <f t="shared" si="9"/>
        <v>103651.36</v>
      </c>
    </row>
    <row r="69" spans="11:16" x14ac:dyDescent="0.3">
      <c r="K69" s="12" t="s">
        <v>407</v>
      </c>
      <c r="L69" s="21">
        <f t="shared" si="8"/>
        <v>62132.27</v>
      </c>
      <c r="O69" s="12" t="s">
        <v>407</v>
      </c>
      <c r="P69" s="22">
        <f t="shared" si="9"/>
        <v>43570.78</v>
      </c>
    </row>
    <row r="70" spans="11:16" x14ac:dyDescent="0.3">
      <c r="K70" s="12" t="s">
        <v>408</v>
      </c>
      <c r="L70" s="21">
        <f t="shared" si="8"/>
        <v>42539.569999999992</v>
      </c>
      <c r="O70" s="12" t="s">
        <v>408</v>
      </c>
      <c r="P70" s="22">
        <f t="shared" si="9"/>
        <v>14245.950000000003</v>
      </c>
    </row>
    <row r="71" spans="11:16" x14ac:dyDescent="0.3">
      <c r="K71" s="12" t="s">
        <v>409</v>
      </c>
      <c r="L71" s="21">
        <f t="shared" si="8"/>
        <v>54199.969999999994</v>
      </c>
      <c r="O71" s="12" t="s">
        <v>409</v>
      </c>
      <c r="P71" s="22">
        <f t="shared" si="9"/>
        <v>8430.9699999999993</v>
      </c>
    </row>
    <row r="72" spans="11:16" x14ac:dyDescent="0.3">
      <c r="K72" s="12" t="s">
        <v>410</v>
      </c>
      <c r="L72" s="21">
        <f t="shared" si="8"/>
        <v>83144.26999999999</v>
      </c>
      <c r="O72" s="12" t="s">
        <v>410</v>
      </c>
      <c r="P72" s="22">
        <f t="shared" si="9"/>
        <v>6730.8</v>
      </c>
    </row>
    <row r="73" spans="11:16" x14ac:dyDescent="0.3">
      <c r="K73" s="12" t="s">
        <v>411</v>
      </c>
      <c r="L73" s="21">
        <f t="shared" si="8"/>
        <v>75198.66</v>
      </c>
      <c r="O73" s="12" t="s">
        <v>411</v>
      </c>
      <c r="P73" s="22">
        <f t="shared" si="9"/>
        <v>23236.109999999997</v>
      </c>
    </row>
    <row r="74" spans="11:16" x14ac:dyDescent="0.3">
      <c r="K74" s="12" t="s">
        <v>412</v>
      </c>
      <c r="L74" s="21">
        <f t="shared" si="8"/>
        <v>100458.11</v>
      </c>
      <c r="O74" s="12" t="s">
        <v>412</v>
      </c>
      <c r="P74" s="22">
        <f t="shared" si="9"/>
        <v>55979.94000000001</v>
      </c>
    </row>
    <row r="75" spans="11:16" x14ac:dyDescent="0.3">
      <c r="K75" s="12" t="s">
        <v>413</v>
      </c>
      <c r="L75" s="21">
        <f t="shared" si="8"/>
        <v>138991.28999999998</v>
      </c>
      <c r="O75" s="12" t="s">
        <v>413</v>
      </c>
      <c r="P75" s="22">
        <f t="shared" si="9"/>
        <v>208445.13999999996</v>
      </c>
    </row>
    <row r="76" spans="11:16" x14ac:dyDescent="0.3">
      <c r="K76" s="12" t="s">
        <v>414</v>
      </c>
      <c r="L76" s="21">
        <f t="shared" si="8"/>
        <v>332827.81000000011</v>
      </c>
      <c r="O76" s="12" t="s">
        <v>414</v>
      </c>
      <c r="P76" s="22">
        <f t="shared" si="9"/>
        <v>127415.17999999998</v>
      </c>
    </row>
    <row r="77" spans="11:16" x14ac:dyDescent="0.3">
      <c r="K77" s="12" t="s">
        <v>415</v>
      </c>
      <c r="L77" s="21">
        <f t="shared" si="8"/>
        <v>1224227.3899999997</v>
      </c>
      <c r="O77" s="12" t="s">
        <v>415</v>
      </c>
      <c r="P77" s="22">
        <f t="shared" si="9"/>
        <v>223247.14999999994</v>
      </c>
    </row>
    <row r="78" spans="11:16" x14ac:dyDescent="0.3">
      <c r="K78" s="12" t="s">
        <v>393</v>
      </c>
      <c r="L78" s="21"/>
      <c r="O78" s="12" t="s">
        <v>393</v>
      </c>
      <c r="P78" s="21"/>
    </row>
    <row r="84" spans="13:15" x14ac:dyDescent="0.3">
      <c r="M84" t="s">
        <v>422</v>
      </c>
    </row>
    <row r="85" spans="13:15" x14ac:dyDescent="0.3">
      <c r="M85" s="12" t="s">
        <v>420</v>
      </c>
      <c r="N85" s="19"/>
    </row>
    <row r="86" spans="13:15" x14ac:dyDescent="0.3">
      <c r="M86" s="12" t="s">
        <v>392</v>
      </c>
      <c r="N86" s="12" t="s">
        <v>423</v>
      </c>
      <c r="O86" s="12" t="s">
        <v>424</v>
      </c>
    </row>
    <row r="87" spans="13:15" x14ac:dyDescent="0.3">
      <c r="M87" s="12" t="str">
        <f>K66</f>
        <v>01-Ene</v>
      </c>
      <c r="N87" s="21">
        <f>L66</f>
        <v>1017130.2500000001</v>
      </c>
      <c r="O87" s="14">
        <f>P66</f>
        <v>205623.06999999998</v>
      </c>
    </row>
    <row r="88" spans="13:15" x14ac:dyDescent="0.3">
      <c r="M88" s="12" t="str">
        <f t="shared" ref="M88:M98" si="10">K67</f>
        <v>02-Feb</v>
      </c>
      <c r="N88" s="21">
        <f t="shared" ref="N88:N98" si="11">L67</f>
        <v>412236.36000000004</v>
      </c>
      <c r="O88" s="14">
        <f t="shared" ref="O88:O98" si="12">P67</f>
        <v>69361.47</v>
      </c>
    </row>
    <row r="89" spans="13:15" x14ac:dyDescent="0.3">
      <c r="M89" s="12" t="str">
        <f t="shared" si="10"/>
        <v>03-Mar</v>
      </c>
      <c r="N89" s="21">
        <f t="shared" si="11"/>
        <v>83076.350000000006</v>
      </c>
      <c r="O89" s="14">
        <f t="shared" si="12"/>
        <v>103651.36</v>
      </c>
    </row>
    <row r="90" spans="13:15" x14ac:dyDescent="0.3">
      <c r="M90" s="12" t="str">
        <f t="shared" si="10"/>
        <v>04-Abr</v>
      </c>
      <c r="N90" s="21">
        <f t="shared" si="11"/>
        <v>62132.27</v>
      </c>
      <c r="O90" s="14">
        <f t="shared" si="12"/>
        <v>43570.78</v>
      </c>
    </row>
    <row r="91" spans="13:15" x14ac:dyDescent="0.3">
      <c r="M91" s="12" t="str">
        <f t="shared" si="10"/>
        <v>05-May</v>
      </c>
      <c r="N91" s="21">
        <f t="shared" si="11"/>
        <v>42539.569999999992</v>
      </c>
      <c r="O91" s="14">
        <f t="shared" si="12"/>
        <v>14245.950000000003</v>
      </c>
    </row>
    <row r="92" spans="13:15" x14ac:dyDescent="0.3">
      <c r="M92" s="12" t="str">
        <f t="shared" si="10"/>
        <v>06-Jun</v>
      </c>
      <c r="N92" s="21">
        <f t="shared" si="11"/>
        <v>54199.969999999994</v>
      </c>
      <c r="O92" s="14">
        <f t="shared" si="12"/>
        <v>8430.9699999999993</v>
      </c>
    </row>
    <row r="93" spans="13:15" x14ac:dyDescent="0.3">
      <c r="M93" s="12" t="str">
        <f t="shared" si="10"/>
        <v>07-Jul</v>
      </c>
      <c r="N93" s="21">
        <f t="shared" si="11"/>
        <v>83144.26999999999</v>
      </c>
      <c r="O93" s="14">
        <f t="shared" si="12"/>
        <v>6730.8</v>
      </c>
    </row>
    <row r="94" spans="13:15" x14ac:dyDescent="0.3">
      <c r="M94" s="12" t="str">
        <f t="shared" si="10"/>
        <v>08-Ago</v>
      </c>
      <c r="N94" s="21">
        <f t="shared" si="11"/>
        <v>75198.66</v>
      </c>
      <c r="O94" s="14">
        <f t="shared" si="12"/>
        <v>23236.109999999997</v>
      </c>
    </row>
    <row r="95" spans="13:15" x14ac:dyDescent="0.3">
      <c r="M95" s="12" t="str">
        <f t="shared" si="10"/>
        <v>09-Set</v>
      </c>
      <c r="N95" s="21">
        <f t="shared" si="11"/>
        <v>100458.11</v>
      </c>
      <c r="O95" s="14">
        <f t="shared" si="12"/>
        <v>55979.94000000001</v>
      </c>
    </row>
    <row r="96" spans="13:15" x14ac:dyDescent="0.3">
      <c r="M96" s="12" t="str">
        <f t="shared" si="10"/>
        <v>10-Oct</v>
      </c>
      <c r="N96" s="21">
        <f t="shared" si="11"/>
        <v>138991.28999999998</v>
      </c>
      <c r="O96" s="14">
        <f t="shared" si="12"/>
        <v>208445.13999999996</v>
      </c>
    </row>
    <row r="97" spans="13:15" x14ac:dyDescent="0.3">
      <c r="M97" s="12" t="str">
        <f t="shared" si="10"/>
        <v>11-Nov</v>
      </c>
      <c r="N97" s="21">
        <f t="shared" si="11"/>
        <v>332827.81000000011</v>
      </c>
      <c r="O97" s="14">
        <f t="shared" si="12"/>
        <v>127415.17999999998</v>
      </c>
    </row>
    <row r="98" spans="13:15" x14ac:dyDescent="0.3">
      <c r="M98" s="12" t="str">
        <f t="shared" si="10"/>
        <v>12-Dic</v>
      </c>
      <c r="N98" s="21">
        <f t="shared" si="11"/>
        <v>1224227.3899999997</v>
      </c>
      <c r="O98" s="14">
        <f t="shared" si="12"/>
        <v>223247.14999999994</v>
      </c>
    </row>
  </sheetData>
  <mergeCells count="3">
    <mergeCell ref="A13:B13"/>
    <mergeCell ref="E13:F13"/>
    <mergeCell ref="K22:L22"/>
  </mergeCells>
  <pageMargins left="0.7" right="0.7" top="0.75" bottom="0.75" header="0.3" footer="0.3"/>
  <drawing r:id="rId9"/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D84B1-1B07-5F47-98DA-5CC347534F2C}">
  <sheetPr codeName="Hoja3"/>
  <dimension ref="A1:P64"/>
  <sheetViews>
    <sheetView showGridLines="0" showRowColHeaders="0" tabSelected="1" zoomScaleNormal="100" workbookViewId="0">
      <selection activeCell="R16" sqref="R16"/>
    </sheetView>
  </sheetViews>
  <sheetFormatPr baseColWidth="10" defaultColWidth="10.8984375" defaultRowHeight="15.6" x14ac:dyDescent="0.3"/>
  <cols>
    <col min="1" max="16384" width="10.8984375" style="8"/>
  </cols>
  <sheetData>
    <row r="1" spans="1:16" x14ac:dyDescent="0.3">
      <c r="A1" s="34" t="s">
        <v>427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3">
      <c r="A2" s="3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</row>
    <row r="3" spans="1:16" x14ac:dyDescent="0.3">
      <c r="A3" s="34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</row>
    <row r="4" spans="1:16" x14ac:dyDescent="0.3">
      <c r="A4" s="34"/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</row>
    <row r="41" spans="7:7" x14ac:dyDescent="0.3">
      <c r="G41" s="28"/>
    </row>
    <row r="64" ht="12.9" customHeight="1" x14ac:dyDescent="0.3"/>
  </sheetData>
  <sheetProtection sheet="1" objects="1" scenarios="1"/>
  <mergeCells count="1">
    <mergeCell ref="A1:P4"/>
  </mergeCell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0192A-9A99-B944-8321-D0D540099014}">
  <sheetPr codeName="Hoja4"/>
  <dimension ref="B3:B14"/>
  <sheetViews>
    <sheetView workbookViewId="0">
      <selection activeCell="B17" sqref="B17"/>
    </sheetView>
  </sheetViews>
  <sheetFormatPr baseColWidth="10" defaultRowHeight="15.6" x14ac:dyDescent="0.3"/>
  <cols>
    <col min="2" max="2" width="34.59765625" customWidth="1"/>
  </cols>
  <sheetData>
    <row r="3" spans="2:2" x14ac:dyDescent="0.3">
      <c r="B3" s="27" t="s">
        <v>428</v>
      </c>
    </row>
    <row r="4" spans="2:2" x14ac:dyDescent="0.3">
      <c r="B4" s="12" t="s">
        <v>437</v>
      </c>
    </row>
    <row r="5" spans="2:2" x14ac:dyDescent="0.3">
      <c r="B5" s="12" t="s">
        <v>429</v>
      </c>
    </row>
    <row r="6" spans="2:2" x14ac:dyDescent="0.3">
      <c r="B6" s="12" t="s">
        <v>430</v>
      </c>
    </row>
    <row r="7" spans="2:2" x14ac:dyDescent="0.3">
      <c r="B7" s="12" t="s">
        <v>431</v>
      </c>
    </row>
    <row r="8" spans="2:2" x14ac:dyDescent="0.3">
      <c r="B8" s="12" t="s">
        <v>432</v>
      </c>
    </row>
    <row r="9" spans="2:2" x14ac:dyDescent="0.3">
      <c r="B9" s="12" t="s">
        <v>433</v>
      </c>
    </row>
    <row r="10" spans="2:2" x14ac:dyDescent="0.3">
      <c r="B10" s="12" t="s">
        <v>434</v>
      </c>
    </row>
    <row r="11" spans="2:2" x14ac:dyDescent="0.3">
      <c r="B11" s="12" t="s">
        <v>435</v>
      </c>
    </row>
    <row r="12" spans="2:2" x14ac:dyDescent="0.3">
      <c r="B12" s="12" t="s">
        <v>436</v>
      </c>
    </row>
    <row r="13" spans="2:2" x14ac:dyDescent="0.3">
      <c r="B13" s="12" t="s">
        <v>438</v>
      </c>
    </row>
    <row r="14" spans="2:2" x14ac:dyDescent="0.3">
      <c r="B14" s="12" t="s">
        <v>439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DATA</vt:lpstr>
      <vt:lpstr>TABLAS DINAMICAS</vt:lpstr>
      <vt:lpstr>DASHBOARD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KEVIN LAPA JUSTO</dc:creator>
  <cp:lastModifiedBy>Jack Lapa</cp:lastModifiedBy>
  <dcterms:created xsi:type="dcterms:W3CDTF">2022-10-02T22:51:58Z</dcterms:created>
  <dcterms:modified xsi:type="dcterms:W3CDTF">2022-12-23T22:53:12Z</dcterms:modified>
</cp:coreProperties>
</file>